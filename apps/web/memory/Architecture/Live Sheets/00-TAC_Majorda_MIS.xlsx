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xionconnectinfo-my.sharepoint.com/personal/majordapmc_axionconnect_com/Documents/03-TAC-PMC/"/>
    </mc:Choice>
  </mc:AlternateContent>
  <xr:revisionPtr revIDLastSave="7" documentId="14_{BE477874-E128-4119-A8F6-44BDF63BAE78}" xr6:coauthVersionLast="47" xr6:coauthVersionMax="47" xr10:uidLastSave="{A400CAF9-2156-468A-B948-0E0AD99BB517}"/>
  <bookViews>
    <workbookView xWindow="-108" yWindow="-108" windowWidth="23256" windowHeight="12456" tabRatio="997" activeTab="1" xr2:uid="{86BB195E-01BD-4051-A5B0-58B546BE695C}"/>
  </bookViews>
  <sheets>
    <sheet name="Project Summary" sheetId="7" r:id="rId1"/>
    <sheet name="01-Task List" sheetId="10" r:id="rId2"/>
    <sheet name="02-Weekly Progress Report" sheetId="1" r:id="rId3"/>
    <sheet name="03-Work Order Tracker" sheetId="2" r:id="rId4"/>
    <sheet name="04-Payment Certificate Tracker" sheetId="5" r:id="rId5"/>
    <sheet name="05-PMC Commercials" sheetId="11" r:id="rId6"/>
    <sheet name="06-Petty Cash Tracker" sheetId="6" r:id="rId7"/>
    <sheet name="07-CSA" sheetId="8" r:id="rId8"/>
    <sheet name="Code-Categories" sheetId="9" r:id="rId9"/>
    <sheet name="Baseline Budget" sheetId="12" r:id="rId10"/>
  </sheets>
  <definedNames>
    <definedName name="_xlnm.Print_Area" localSheetId="1">'01-Task List'!$B$2:$F$77</definedName>
    <definedName name="_xlnm.Print_Area" localSheetId="2">'02-Weekly Progress Report'!$B$2:$I$64</definedName>
    <definedName name="_xlnm.Print_Area" localSheetId="3">'03-Work Order Tracker'!$B$2:$J$39</definedName>
    <definedName name="_xlnm.Print_Area" localSheetId="4">'04-Payment Certificate Tracker'!$B$2:$H$54</definedName>
    <definedName name="_xlnm.Print_Area" localSheetId="5">'05-PMC Commercials'!$B$2:$H$56</definedName>
    <definedName name="_xlnm.Print_Area" localSheetId="6">'06-Petty Cash Tracker'!$B$2:$E$60</definedName>
    <definedName name="_xlnm.Print_Area" localSheetId="7">'07-CSA'!$B$2:$F$51</definedName>
    <definedName name="_xlnm.Print_Area" localSheetId="0">'Project Summary'!$B$2:$G$61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2" l="1"/>
  <c r="B8" i="7" l="1"/>
  <c r="C8" i="7"/>
  <c r="B9" i="7"/>
  <c r="C9" i="7"/>
  <c r="B10" i="7"/>
  <c r="C10" i="7"/>
  <c r="B11" i="7"/>
  <c r="C11" i="7"/>
  <c r="B12" i="7"/>
  <c r="C12" i="7"/>
  <c r="B13" i="7"/>
  <c r="C13" i="7"/>
  <c r="B14" i="7"/>
  <c r="C14" i="7"/>
  <c r="B15" i="7"/>
  <c r="C15" i="7"/>
  <c r="B16" i="7"/>
  <c r="C16" i="7"/>
  <c r="B17" i="7"/>
  <c r="C17" i="7"/>
  <c r="B18" i="7"/>
  <c r="C18" i="7"/>
  <c r="B19" i="7"/>
  <c r="C19" i="7"/>
  <c r="B20" i="7"/>
  <c r="C20" i="7"/>
  <c r="C7" i="7"/>
  <c r="B7" i="7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L7" i="1"/>
  <c r="K7" i="1"/>
  <c r="L8" i="2"/>
  <c r="M8" i="2"/>
  <c r="L9" i="2"/>
  <c r="M9" i="2"/>
  <c r="L10" i="2"/>
  <c r="M10" i="2"/>
  <c r="L11" i="2"/>
  <c r="M11" i="2"/>
  <c r="L12" i="2"/>
  <c r="M12" i="2"/>
  <c r="L13" i="2"/>
  <c r="M13" i="2"/>
  <c r="L14" i="2"/>
  <c r="M14" i="2"/>
  <c r="L15" i="2"/>
  <c r="M15" i="2"/>
  <c r="L16" i="2"/>
  <c r="M16" i="2"/>
  <c r="L17" i="2"/>
  <c r="M17" i="2"/>
  <c r="L18" i="2"/>
  <c r="M18" i="2"/>
  <c r="L19" i="2"/>
  <c r="M19" i="2"/>
  <c r="L20" i="2"/>
  <c r="M20" i="2"/>
  <c r="M7" i="2"/>
  <c r="L7" i="2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7" i="5"/>
  <c r="H9" i="2"/>
  <c r="G9" i="2"/>
  <c r="D7" i="7"/>
  <c r="C20" i="12"/>
  <c r="C21" i="12"/>
  <c r="C22" i="12"/>
  <c r="C23" i="12"/>
  <c r="C24" i="12"/>
  <c r="C25" i="12"/>
  <c r="C26" i="12"/>
  <c r="C27" i="12"/>
  <c r="C28" i="12"/>
  <c r="C29" i="12"/>
  <c r="C30" i="12"/>
  <c r="C31" i="12"/>
  <c r="C19" i="12"/>
  <c r="F17" i="12"/>
  <c r="F15" i="12"/>
  <c r="C7" i="6" l="1"/>
  <c r="C4" i="7"/>
  <c r="C4" i="1"/>
  <c r="C4" i="6"/>
  <c r="C4" i="5"/>
  <c r="C4" i="11"/>
  <c r="C6" i="6"/>
  <c r="H8" i="5"/>
  <c r="G8" i="5"/>
  <c r="B8" i="5"/>
  <c r="C8" i="5"/>
  <c r="C7" i="5"/>
  <c r="B7" i="5"/>
  <c r="E8" i="1"/>
  <c r="F8" i="1"/>
  <c r="G8" i="1"/>
  <c r="G7" i="1"/>
  <c r="F7" i="1"/>
  <c r="B8" i="1"/>
  <c r="C8" i="1"/>
  <c r="D8" i="1"/>
  <c r="C7" i="1"/>
  <c r="D7" i="1"/>
  <c r="B7" i="1"/>
  <c r="E7" i="1"/>
  <c r="G9" i="11"/>
  <c r="E33" i="10"/>
  <c r="E34" i="10" s="1"/>
  <c r="E35" i="10" s="1"/>
  <c r="E36" i="10" s="1"/>
  <c r="C8" i="6" l="1"/>
  <c r="E37" i="10"/>
  <c r="E38" i="10" s="1"/>
  <c r="E39" i="10" s="1"/>
  <c r="G56" i="11"/>
  <c r="H9" i="11"/>
  <c r="L19" i="5" l="1"/>
  <c r="L9" i="5"/>
  <c r="L8" i="5"/>
  <c r="M15" i="1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7" i="2"/>
  <c r="F39" i="2"/>
  <c r="L16" i="5" l="1"/>
  <c r="L18" i="5"/>
  <c r="L12" i="5"/>
  <c r="L11" i="5"/>
  <c r="L17" i="5"/>
  <c r="L20" i="5"/>
  <c r="L13" i="5"/>
  <c r="L7" i="5"/>
  <c r="L14" i="5"/>
  <c r="L15" i="5"/>
  <c r="M14" i="1"/>
  <c r="L10" i="5"/>
  <c r="M19" i="1"/>
  <c r="M13" i="1"/>
  <c r="M7" i="1"/>
  <c r="M8" i="1"/>
  <c r="M16" i="1"/>
  <c r="M9" i="1"/>
  <c r="M17" i="1"/>
  <c r="M18" i="1"/>
  <c r="M12" i="1"/>
  <c r="M20" i="1"/>
  <c r="M10" i="1"/>
  <c r="M11" i="1"/>
  <c r="G54" i="5"/>
  <c r="H39" i="2"/>
  <c r="E7" i="7" a="1"/>
  <c r="E7" i="7" s="1"/>
  <c r="G7" i="7" l="1" a="1"/>
  <c r="G7" i="7" s="1"/>
  <c r="F7" i="7" a="1"/>
  <c r="F7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<sst xmlns="http://schemas.openxmlformats.org/spreadsheetml/2006/main" count="354" uniqueCount="186">
  <si>
    <t>Project Name :</t>
  </si>
  <si>
    <t>Majorda Villa</t>
  </si>
  <si>
    <t>PROJECT SUMMARY</t>
  </si>
  <si>
    <t>Client :</t>
  </si>
  <si>
    <t>Mr. Sanjay Rao</t>
  </si>
  <si>
    <t>Date :</t>
  </si>
  <si>
    <t>CODE</t>
  </si>
  <si>
    <t>Description</t>
  </si>
  <si>
    <t>Budget</t>
  </si>
  <si>
    <t>WO Value</t>
  </si>
  <si>
    <t>% Progress</t>
  </si>
  <si>
    <t>Payment Value</t>
  </si>
  <si>
    <t>PROJECT TASK LIST</t>
  </si>
  <si>
    <t>Sr No</t>
  </si>
  <si>
    <t>OPEN Task Description</t>
  </si>
  <si>
    <t>Action By</t>
  </si>
  <si>
    <t>Deadline</t>
  </si>
  <si>
    <t>Status / Notes</t>
  </si>
  <si>
    <t>E-mail Confirmation to Structural</t>
  </si>
  <si>
    <t>Omkar / Rajesh</t>
  </si>
  <si>
    <t>Critical, to be completed</t>
  </si>
  <si>
    <t>Footing &amp; Steel Drawings</t>
  </si>
  <si>
    <t>Paresh</t>
  </si>
  <si>
    <t>Mamta will take 3 days to complete steel &amp; footing drawings if no changes.</t>
  </si>
  <si>
    <t>Civil BOQ</t>
  </si>
  <si>
    <t>Amit</t>
  </si>
  <si>
    <t>Contract ready BOQ will only be ready after receipt of complete structural drawings including footing &amp; steel</t>
  </si>
  <si>
    <t>Civil Contract Award, Advance to be paid</t>
  </si>
  <si>
    <t>PS Engrs, SS Construction, Madhav Patra (Team available for mid Jan)</t>
  </si>
  <si>
    <t>Civil Works to be started onsite</t>
  </si>
  <si>
    <t>Vendor to be confirmed.</t>
  </si>
  <si>
    <t>MEP Meeting for Levels, Septic &amp; Sump Location</t>
  </si>
  <si>
    <t>After receipt of Footing drawings.</t>
  </si>
  <si>
    <t>MEP BOQ &amp; Specs to be prepared</t>
  </si>
  <si>
    <t>MEP Consultant</t>
  </si>
  <si>
    <t>Needed once we reach plinth filling.</t>
  </si>
  <si>
    <t>Electrical Contract Award, Advance to be paid</t>
  </si>
  <si>
    <t>Electrical contractor to be onboard before plinth filling.</t>
  </si>
  <si>
    <t>COMPLETED Task Description</t>
  </si>
  <si>
    <t>PROJECT PROGRESS REPORT</t>
  </si>
  <si>
    <t>Vendor</t>
  </si>
  <si>
    <t>WO Refn</t>
  </si>
  <si>
    <t>WO Issued Date</t>
  </si>
  <si>
    <t>Start Date</t>
  </si>
  <si>
    <t>End Date</t>
  </si>
  <si>
    <t>% Completed</t>
  </si>
  <si>
    <t>Comments</t>
  </si>
  <si>
    <t>Average Value</t>
  </si>
  <si>
    <t>Activity Completed</t>
  </si>
  <si>
    <t>CIV</t>
  </si>
  <si>
    <t>Rajesh Construction</t>
  </si>
  <si>
    <t>TAC_WO_25_005</t>
  </si>
  <si>
    <t>PRF</t>
  </si>
  <si>
    <t>CDSP Global</t>
  </si>
  <si>
    <t>TAC_WO_25_006</t>
  </si>
  <si>
    <t>WORK ORDER TRACKER</t>
  </si>
  <si>
    <t>GST</t>
  </si>
  <si>
    <t>Retention Value</t>
  </si>
  <si>
    <t>Total Value</t>
  </si>
  <si>
    <t>SS Construction</t>
  </si>
  <si>
    <t>TAC_WO_25_003</t>
  </si>
  <si>
    <t>ELC</t>
  </si>
  <si>
    <t>Suraj Electrician</t>
  </si>
  <si>
    <t>TAC_WO_25_004</t>
  </si>
  <si>
    <t>Total:</t>
  </si>
  <si>
    <t>PROJECT CASHFLOW TRACKER</t>
  </si>
  <si>
    <t>PC Refn</t>
  </si>
  <si>
    <t>PC Date</t>
  </si>
  <si>
    <t>PC Value</t>
  </si>
  <si>
    <t>Payment Date</t>
  </si>
  <si>
    <t>TAC_PC_25_003</t>
  </si>
  <si>
    <t>TAC_PC_25_004</t>
  </si>
  <si>
    <t>Third Angle Concepts</t>
  </si>
  <si>
    <t>TAC_PC_25_005</t>
  </si>
  <si>
    <t>TAC_PC_25_006</t>
  </si>
  <si>
    <t>TAC_PC_25_007</t>
  </si>
  <si>
    <t>TAC_PC_25_008</t>
  </si>
  <si>
    <t>PMC COMMERCIALS</t>
  </si>
  <si>
    <t>PMC Retainer/Month :</t>
  </si>
  <si>
    <t>PC Issue Date</t>
  </si>
  <si>
    <t>Amount</t>
  </si>
  <si>
    <t>TDS</t>
  </si>
  <si>
    <t>Amount Received</t>
  </si>
  <si>
    <t>50% Advance Dec-25</t>
  </si>
  <si>
    <t>50% Bal Dec-25 + 50% Adv Jan -26</t>
  </si>
  <si>
    <t xml:space="preserve">     </t>
  </si>
  <si>
    <t>PETTY CASH REGISTER</t>
  </si>
  <si>
    <t>Total Received:</t>
  </si>
  <si>
    <t>Total Expenses:</t>
  </si>
  <si>
    <t>Balance Available :</t>
  </si>
  <si>
    <t>Date</t>
  </si>
  <si>
    <t>Bill / Invoice</t>
  </si>
  <si>
    <t>Received from Mr. Sanjay</t>
  </si>
  <si>
    <t>Assistant Engr (Unofficial)</t>
  </si>
  <si>
    <t>File Procession (Unofficial)</t>
  </si>
  <si>
    <t>Lineman (Unofficial)</t>
  </si>
  <si>
    <t>Meter Box</t>
  </si>
  <si>
    <t>Tax Invoice</t>
  </si>
  <si>
    <t>Electricity Connection Fees</t>
  </si>
  <si>
    <t>Pending</t>
  </si>
  <si>
    <t>Cash</t>
  </si>
  <si>
    <t>UG Cabling (Unofficial)</t>
  </si>
  <si>
    <t>ASSET MANAGEMENT REGISTER</t>
  </si>
  <si>
    <t>Value</t>
  </si>
  <si>
    <t>Received Date</t>
  </si>
  <si>
    <t>CSA</t>
  </si>
  <si>
    <t>Category</t>
  </si>
  <si>
    <t>Inclusion</t>
  </si>
  <si>
    <t>Exclusion to CSA (Client Supplied Appliances)</t>
  </si>
  <si>
    <t>Civil Works</t>
  </si>
  <si>
    <t>Excavation, RCC, PCC, masonry, plastering, waterproofing, compound wall, all Grey Works</t>
  </si>
  <si>
    <t>PLB</t>
  </si>
  <si>
    <t>Plumbing Works</t>
  </si>
  <si>
    <t>Piping, valves, traps, drainage, pump-room piping, STP Setup, Chambers, Storm Drain, Geyser Piping and Fixing of final sanitaryware, steam, sauna, jacuzzi, geyser fixtures</t>
  </si>
  <si>
    <t>Sanitaryware, faucets, shower sets, pumps.</t>
  </si>
  <si>
    <t>Electrical Works</t>
  </si>
  <si>
    <t>Conduits, wiring, DBs, breakers, earthing, CCTV, Home Automation, DG Setup, Invertor Setup, Internet Setup, Solar Works and Fixing of all type final fixtures.</t>
  </si>
  <si>
    <t>Lights, fans, switches, chandeliers.</t>
  </si>
  <si>
    <t>DWG</t>
  </si>
  <si>
    <t>Doors, Windows &amp; Glazing</t>
  </si>
  <si>
    <t>External Aluminum/UPVC, Main doors, skylights, facade glazing, External Envelope Closure.</t>
  </si>
  <si>
    <t>Loose Furnitures, Special Lights</t>
  </si>
  <si>
    <t>SWP</t>
  </si>
  <si>
    <t>Swimming Pool Works</t>
  </si>
  <si>
    <t>Related to Swimming Pool, Waterproofing, Tiling, Pool Light Fixing, Complete Pool Plumbing &amp; Electricals, Pumps, Heaters</t>
  </si>
  <si>
    <t>AC indoor/outdoor units.</t>
  </si>
  <si>
    <t>HVC</t>
  </si>
  <si>
    <t>HVAC / Air Conditioning</t>
  </si>
  <si>
    <t>Copper piping, drain lines, insulation and fixing of final units internal and external.</t>
  </si>
  <si>
    <t>Tile, Stone, Pavers, Roofing Tile, Decorative lights, mirrors, loose décor.</t>
  </si>
  <si>
    <t>FIN</t>
  </si>
  <si>
    <t>Finishing Works</t>
  </si>
  <si>
    <t>Internal Doors, Windows, Glazing, Flooring, Tiling, Painting (Int &amp; Ext), False ceiling, Wardrobes, kitchen, vanities, fixed furniture.</t>
  </si>
  <si>
    <t>Loose furniture (sofas, beds, dining).</t>
  </si>
  <si>
    <t>LAN</t>
  </si>
  <si>
    <t>Landscapping &amp; External Works</t>
  </si>
  <si>
    <t>Greenscaping, Plants, turf, irrigation, pavers, decks.</t>
  </si>
  <si>
    <t>Garden lights, outdoor furniture.</t>
  </si>
  <si>
    <t>FAB</t>
  </si>
  <si>
    <t>Metal &amp; Steel Fabrication</t>
  </si>
  <si>
    <t>Railings, gate fabrication, structural framing for roofing, installation of roofing tiles, framing for jali walls, installation of jali wall, steel brackets, platforms, and structural steel elements.</t>
  </si>
  <si>
    <t>Specialized ornamental items (if client-supplied).</t>
  </si>
  <si>
    <t>Client Supplied Assets</t>
  </si>
  <si>
    <t xml:space="preserve">Sanitory Fixtures, light fixtures, HVAC Units, Pumps, DG Unit, all type of appliances, loose furniture, décor, Sofa, Bed, Table, Cabinet, Curtains, Rugs, Cushions, </t>
  </si>
  <si>
    <t>CCTV cameras, smart locks, automation gadgets.</t>
  </si>
  <si>
    <t>Professional Fees</t>
  </si>
  <si>
    <t>Architect, Engineers, Consultants, PMC, CA, Security Guards.</t>
  </si>
  <si>
    <t>STC</t>
  </si>
  <si>
    <t>Approvals &amp; Statutory Charges</t>
  </si>
  <si>
    <t>Govt/Panchayat Permissions, licenses, NOCs, utility connections.</t>
  </si>
  <si>
    <t>PTC</t>
  </si>
  <si>
    <t>Petty Cash / Running Expenses</t>
  </si>
  <si>
    <t>Drinking Water, Water Tankers, Chairs, stationery, extension boards, Health compliant activities</t>
  </si>
  <si>
    <t>CON</t>
  </si>
  <si>
    <t>Contingency</t>
  </si>
  <si>
    <t>Buffer for variations &amp; unforeseen items.</t>
  </si>
  <si>
    <t>Baseline Budget</t>
  </si>
  <si>
    <t>%</t>
  </si>
  <si>
    <t>Code</t>
  </si>
  <si>
    <t>SWall beam to be included in render.</t>
  </si>
  <si>
    <t>Column or stubbed steel on NW side got floating roof to be in rcc clarity.</t>
  </si>
  <si>
    <t>Jali wall material?</t>
  </si>
  <si>
    <t>Ventilator on seast room bay window in the east-facing room. (Suggestion if this is doable and look good)</t>
  </si>
  <si>
    <t>Cantilever extension to 4 ft into the setback to be checked with PMC.</t>
  </si>
  <si>
    <t>Shingles and material on the roof for render and south-side solar panels.</t>
  </si>
  <si>
    <t>POV for Terrace fireplace.</t>
  </si>
  <si>
    <t>south side FF opening for rooms does not match with the floor plan. ( Need some clarity)</t>
  </si>
  <si>
    <t>NW room sky roof POV.</t>
  </si>
  <si>
    <t>Laterite vs. terracotta brick cladding material mix.</t>
  </si>
  <si>
    <t>Can we obtain specific massing or design details for the entrance door, if possible?</t>
  </si>
  <si>
    <t>Omkar/Rajesh</t>
  </si>
  <si>
    <t>Installing CCTV Cameras onsite</t>
  </si>
  <si>
    <t>Swimming Pool services drawings to be issued.</t>
  </si>
  <si>
    <t>Santosh</t>
  </si>
  <si>
    <t>Pool Vendor onboarding</t>
  </si>
  <si>
    <t>Electrican Vendor Onboarding</t>
  </si>
  <si>
    <t>Plumbing Vendor Onboarding</t>
  </si>
  <si>
    <t>After confirmation of swimming pool services drawings</t>
  </si>
  <si>
    <t>After receipt of Electrical BOQ</t>
  </si>
  <si>
    <t>After receipt of Plumbing BOQ</t>
  </si>
  <si>
    <t>Door Window Schedule to be issued</t>
  </si>
  <si>
    <t>MEP</t>
  </si>
  <si>
    <t>Pls provide with section drawing to highlight this area, will check onsite and revert.</t>
  </si>
  <si>
    <t>Electrical Specs/BOQ to be issued</t>
  </si>
  <si>
    <t>Plumbing Specs/BOQ to be Issued</t>
  </si>
  <si>
    <t>Car Park area Entry from North East, clashing with onsite electrical post, need final decision to move 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</si>
</sst>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trike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43" fontId="0" fillId="0" borderId="1" xfId="1" applyFont="1" applyBorder="1"/>
    <xf numFmtId="43" fontId="0" fillId="0" borderId="0" xfId="1" applyFont="1"/>
    <xf numFmtId="43" fontId="1" fillId="2" borderId="1" xfId="1" applyFont="1" applyFill="1" applyBorder="1"/>
    <xf numFmtId="43" fontId="1" fillId="2" borderId="3" xfId="1" applyFont="1" applyFill="1" applyBorder="1"/>
    <xf numFmtId="0" fontId="1" fillId="2" borderId="1" xfId="0" applyFont="1" applyFill="1" applyBorder="1" applyAlignment="1">
      <alignment horizontal="right"/>
    </xf>
    <xf numFmtId="9" fontId="0" fillId="0" borderId="1" xfId="2" applyFont="1" applyBorder="1"/>
    <xf numFmtId="0" fontId="0" fillId="0" borderId="1" xfId="0" applyBorder="1" applyAlignment="1">
      <alignment horizontal="center" vertical="center"/>
    </xf>
    <xf numFmtId="43" fontId="1" fillId="2" borderId="1" xfId="1" applyFont="1" applyFill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3" fontId="1" fillId="2" borderId="1" xfId="1" applyFont="1" applyFill="1" applyBorder="1" applyAlignment="1">
      <alignment horizontal="center"/>
    </xf>
    <xf numFmtId="43" fontId="1" fillId="2" borderId="0" xfId="1" applyFont="1" applyFill="1" applyBorder="1"/>
    <xf numFmtId="9" fontId="0" fillId="0" borderId="0" xfId="2" applyFont="1"/>
    <xf numFmtId="9" fontId="1" fillId="2" borderId="1" xfId="2" applyFont="1" applyFill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4" fontId="0" fillId="0" borderId="1" xfId="1" applyNumberFormat="1" applyFont="1" applyBorder="1"/>
    <xf numFmtId="14" fontId="0" fillId="0" borderId="1" xfId="0" applyNumberFormat="1" applyBorder="1"/>
    <xf numFmtId="0" fontId="1" fillId="2" borderId="3" xfId="0" applyFont="1" applyFill="1" applyBorder="1"/>
    <xf numFmtId="164" fontId="0" fillId="0" borderId="1" xfId="1" applyNumberFormat="1" applyFont="1" applyBorder="1" applyAlignment="1">
      <alignment horizontal="center" vertical="center"/>
    </xf>
    <xf numFmtId="164" fontId="0" fillId="0" borderId="0" xfId="1" applyNumberFormat="1" applyFont="1"/>
    <xf numFmtId="164" fontId="1" fillId="2" borderId="1" xfId="1" applyNumberFormat="1" applyFont="1" applyFill="1" applyBorder="1" applyAlignment="1">
      <alignment horizontal="right"/>
    </xf>
    <xf numFmtId="164" fontId="1" fillId="2" borderId="1" xfId="1" applyNumberFormat="1" applyFont="1" applyFill="1" applyBorder="1" applyAlignment="1">
      <alignment horizontal="center"/>
    </xf>
    <xf numFmtId="15" fontId="1" fillId="0" borderId="1" xfId="0" applyNumberFormat="1" applyFont="1" applyBorder="1" applyAlignment="1">
      <alignment horizontal="left"/>
    </xf>
    <xf numFmtId="43" fontId="0" fillId="0" borderId="1" xfId="1" applyFont="1" applyBorder="1" applyAlignment="1">
      <alignment horizontal="left"/>
    </xf>
    <xf numFmtId="14" fontId="0" fillId="0" borderId="1" xfId="0" applyNumberFormat="1" applyBorder="1" applyAlignment="1">
      <alignment horizontal="center" vertical="center"/>
    </xf>
    <xf numFmtId="43" fontId="0" fillId="0" borderId="0" xfId="0" applyNumberFormat="1"/>
    <xf numFmtId="43" fontId="0" fillId="0" borderId="1" xfId="0" applyNumberFormat="1" applyBorder="1"/>
    <xf numFmtId="43" fontId="0" fillId="0" borderId="1" xfId="1" applyFont="1" applyBorder="1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43" fontId="0" fillId="0" borderId="1" xfId="0" applyNumberFormat="1" applyBorder="1" applyAlignment="1">
      <alignment horizontal="center"/>
    </xf>
    <xf numFmtId="15" fontId="1" fillId="0" borderId="1" xfId="1" applyNumberFormat="1" applyFont="1" applyBorder="1" applyAlignment="1">
      <alignment horizontal="left"/>
    </xf>
    <xf numFmtId="9" fontId="0" fillId="0" borderId="1" xfId="0" applyNumberFormat="1" applyBorder="1" applyAlignment="1">
      <alignment horizontal="center"/>
    </xf>
    <xf numFmtId="43" fontId="0" fillId="0" borderId="1" xfId="1" applyFont="1" applyBorder="1" applyAlignment="1"/>
    <xf numFmtId="4" fontId="0" fillId="0" borderId="1" xfId="0" applyNumberFormat="1" applyBorder="1"/>
    <xf numFmtId="43" fontId="1" fillId="0" borderId="1" xfId="1" applyFont="1" applyBorder="1" applyAlignment="1"/>
    <xf numFmtId="43" fontId="0" fillId="0" borderId="0" xfId="1" applyFont="1" applyAlignment="1"/>
    <xf numFmtId="0" fontId="0" fillId="3" borderId="24" xfId="0" applyFill="1" applyBorder="1"/>
    <xf numFmtId="0" fontId="0" fillId="3" borderId="25" xfId="0" applyFill="1" applyBorder="1" applyAlignment="1">
      <alignment horizontal="center"/>
    </xf>
    <xf numFmtId="0" fontId="0" fillId="3" borderId="25" xfId="0" applyFill="1" applyBorder="1"/>
    <xf numFmtId="0" fontId="1" fillId="3" borderId="25" xfId="0" applyFont="1" applyFill="1" applyBorder="1" applyAlignment="1">
      <alignment horizontal="center"/>
    </xf>
    <xf numFmtId="43" fontId="0" fillId="3" borderId="26" xfId="1" applyFont="1" applyFill="1" applyBorder="1" applyAlignment="1"/>
    <xf numFmtId="0" fontId="1" fillId="3" borderId="1" xfId="0" applyFont="1" applyFill="1" applyBorder="1" applyAlignment="1">
      <alignment horizontal="center"/>
    </xf>
    <xf numFmtId="15" fontId="1" fillId="0" borderId="0" xfId="0" applyNumberFormat="1" applyFont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43" fontId="0" fillId="0" borderId="0" xfId="1" applyFont="1" applyAlignment="1">
      <alignment horizontal="center"/>
    </xf>
    <xf numFmtId="43" fontId="0" fillId="0" borderId="1" xfId="1" applyFont="1" applyBorder="1" applyAlignment="1">
      <alignment horizontal="left" vertical="center"/>
    </xf>
    <xf numFmtId="0" fontId="0" fillId="0" borderId="27" xfId="0" applyBorder="1"/>
    <xf numFmtId="14" fontId="0" fillId="4" borderId="1" xfId="0" applyNumberFormat="1" applyFill="1" applyBorder="1"/>
    <xf numFmtId="0" fontId="0" fillId="4" borderId="1" xfId="0" applyFill="1" applyBorder="1"/>
    <xf numFmtId="43" fontId="0" fillId="4" borderId="1" xfId="1" applyFont="1" applyFill="1" applyBorder="1"/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43" fontId="3" fillId="0" borderId="5" xfId="1" applyFont="1" applyBorder="1" applyAlignment="1">
      <alignment horizontal="center" vertical="center"/>
    </xf>
    <xf numFmtId="43" fontId="3" fillId="0" borderId="6" xfId="1" applyFont="1" applyBorder="1" applyAlignment="1">
      <alignment horizontal="center" vertical="center"/>
    </xf>
    <xf numFmtId="43" fontId="3" fillId="0" borderId="7" xfId="1" applyFont="1" applyBorder="1" applyAlignment="1">
      <alignment horizontal="center" vertical="center"/>
    </xf>
    <xf numFmtId="43" fontId="3" fillId="0" borderId="8" xfId="1" applyFont="1" applyBorder="1" applyAlignment="1">
      <alignment horizontal="center" vertical="center"/>
    </xf>
    <xf numFmtId="43" fontId="3" fillId="0" borderId="9" xfId="1" applyFont="1" applyBorder="1" applyAlignment="1">
      <alignment horizontal="center" vertical="center"/>
    </xf>
    <xf numFmtId="43" fontId="3" fillId="0" borderId="10" xfId="1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43" fontId="3" fillId="0" borderId="19" xfId="1" applyFont="1" applyBorder="1" applyAlignment="1">
      <alignment horizontal="center" vertical="center"/>
    </xf>
    <xf numFmtId="43" fontId="3" fillId="0" borderId="4" xfId="1" applyFont="1" applyBorder="1" applyAlignment="1">
      <alignment horizontal="center" vertical="center"/>
    </xf>
    <xf numFmtId="43" fontId="3" fillId="0" borderId="20" xfId="1" applyFont="1" applyBorder="1" applyAlignment="1">
      <alignment horizontal="center" vertical="center"/>
    </xf>
    <xf numFmtId="43" fontId="3" fillId="0" borderId="21" xfId="1" applyFont="1" applyBorder="1" applyAlignment="1">
      <alignment horizontal="center" vertical="center"/>
    </xf>
    <xf numFmtId="43" fontId="3" fillId="0" borderId="22" xfId="1" applyFont="1" applyBorder="1" applyAlignment="1">
      <alignment horizontal="center" vertical="center"/>
    </xf>
    <xf numFmtId="43" fontId="3" fillId="0" borderId="23" xfId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43" fontId="3" fillId="0" borderId="12" xfId="1" applyFont="1" applyBorder="1" applyAlignment="1">
      <alignment horizontal="center" vertical="center"/>
    </xf>
    <xf numFmtId="43" fontId="3" fillId="0" borderId="13" xfId="1" applyFont="1" applyBorder="1" applyAlignment="1">
      <alignment horizontal="center" vertical="center"/>
    </xf>
    <xf numFmtId="43" fontId="3" fillId="0" borderId="14" xfId="1" applyFont="1" applyBorder="1" applyAlignment="1">
      <alignment horizontal="center" vertical="center"/>
    </xf>
    <xf numFmtId="43" fontId="3" fillId="0" borderId="11" xfId="1" applyFont="1" applyBorder="1" applyAlignment="1">
      <alignment horizontal="center" vertical="center"/>
    </xf>
    <xf numFmtId="43" fontId="3" fillId="0" borderId="0" xfId="1" applyFont="1" applyBorder="1" applyAlignment="1">
      <alignment horizontal="center" vertical="center"/>
    </xf>
    <xf numFmtId="43" fontId="3" fillId="0" borderId="15" xfId="1" applyFont="1" applyBorder="1" applyAlignment="1">
      <alignment horizontal="center" vertical="center"/>
    </xf>
    <xf numFmtId="43" fontId="3" fillId="0" borderId="16" xfId="1" applyFont="1" applyBorder="1" applyAlignment="1">
      <alignment horizontal="center" vertical="center"/>
    </xf>
    <xf numFmtId="43" fontId="3" fillId="0" borderId="17" xfId="1" applyFont="1" applyBorder="1" applyAlignment="1">
      <alignment horizontal="center" vertical="center"/>
    </xf>
    <xf numFmtId="43" fontId="3" fillId="0" borderId="18" xfId="1" applyFont="1" applyBorder="1" applyAlignment="1">
      <alignment horizontal="center" vertical="center"/>
    </xf>
    <xf numFmtId="0" fontId="5" fillId="0" borderId="1" xfId="0" applyFont="1" applyBorder="1"/>
    <xf numFmtId="14" fontId="5" fillId="0" borderId="1" xfId="0" applyNumberFormat="1" applyFont="1" applyBorder="1"/>
    <xf numFmtId="164" fontId="5" fillId="0" borderId="1" xfId="1" applyNumberFormat="1" applyFont="1" applyBorder="1" applyAlignment="1">
      <alignment horizontal="center" vertical="center"/>
    </xf>
    <xf numFmtId="43" fontId="5" fillId="0" borderId="1" xfId="1" applyFont="1" applyBorder="1"/>
    <xf numFmtId="14" fontId="5" fillId="0" borderId="1" xfId="1" applyNumberFormat="1" applyFont="1" applyBorder="1"/>
    <xf numFmtId="43" fontId="6" fillId="0" borderId="1" xfId="1" applyFont="1" applyBorder="1"/>
    <xf numFmtId="14" fontId="6" fillId="0" borderId="1" xfId="1" applyNumberFormat="1" applyFont="1" applyBorder="1"/>
    <xf numFmtId="43" fontId="5" fillId="0" borderId="1" xfId="1" applyFont="1" applyFill="1" applyBorder="1"/>
    <xf numFmtId="164" fontId="0" fillId="0" borderId="1" xfId="1" applyNumberFormat="1" applyFont="1" applyBorder="1"/>
    <xf numFmtId="0" fontId="0" fillId="0" borderId="1" xfId="0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PROJECT</a:t>
            </a:r>
            <a:r>
              <a:rPr lang="en-IN" b="1" baseline="0"/>
              <a:t> SUMMARY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7144247594050743"/>
          <c:y val="0.2088079615048119"/>
          <c:w val="0.78411307961504817"/>
          <c:h val="0.617092995202838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'Project Summary'!$E$6</c:f>
              <c:strCache>
                <c:ptCount val="1"/>
                <c:pt idx="0">
                  <c:v> WO Value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'Project Summary'!$B$7:$B$20</c:f>
              <c:strCache>
                <c:ptCount val="14"/>
                <c:pt idx="0">
                  <c:v>CIV</c:v>
                </c:pt>
                <c:pt idx="1">
                  <c:v>PLB</c:v>
                </c:pt>
                <c:pt idx="2">
                  <c:v>ELC</c:v>
                </c:pt>
                <c:pt idx="3">
                  <c:v>DWG</c:v>
                </c:pt>
                <c:pt idx="4">
                  <c:v>SWP</c:v>
                </c:pt>
                <c:pt idx="5">
                  <c:v>HVC</c:v>
                </c:pt>
                <c:pt idx="6">
                  <c:v>FIN</c:v>
                </c:pt>
                <c:pt idx="7">
                  <c:v>LAN</c:v>
                </c:pt>
                <c:pt idx="8">
                  <c:v>FAB</c:v>
                </c:pt>
                <c:pt idx="9">
                  <c:v>CSA</c:v>
                </c:pt>
                <c:pt idx="10">
                  <c:v>PRF</c:v>
                </c:pt>
                <c:pt idx="11">
                  <c:v>STC</c:v>
                </c:pt>
                <c:pt idx="12">
                  <c:v>PTC</c:v>
                </c:pt>
                <c:pt idx="13">
                  <c:v>CON</c:v>
                </c:pt>
              </c:strCache>
            </c:strRef>
          </c:cat>
          <c:val>
            <c:numRef>
              <c:f>'Project Summary'!$E$7:$E$20</c:f>
              <c:numCache>
                <c:formatCode>_(* #,##0.00_);_(* \(#,##0.00\);_(* "-"??_);_(@_)</c:formatCode>
                <c:ptCount val="14"/>
                <c:pt idx="0">
                  <c:v>10107425.949999999</c:v>
                </c:pt>
                <c:pt idx="1">
                  <c:v>0</c:v>
                </c:pt>
                <c:pt idx="2">
                  <c:v>13530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14000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B5-4E77-B0AE-987D91B28059}"/>
            </c:ext>
          </c:extLst>
        </c:ser>
        <c:ser>
          <c:idx val="2"/>
          <c:order val="2"/>
          <c:tx>
            <c:strRef>
              <c:f>'Project Summary'!$G$6</c:f>
              <c:strCache>
                <c:ptCount val="1"/>
                <c:pt idx="0">
                  <c:v> Payment Value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'Project Summary'!$B$7:$B$20</c:f>
              <c:strCache>
                <c:ptCount val="14"/>
                <c:pt idx="0">
                  <c:v>CIV</c:v>
                </c:pt>
                <c:pt idx="1">
                  <c:v>PLB</c:v>
                </c:pt>
                <c:pt idx="2">
                  <c:v>ELC</c:v>
                </c:pt>
                <c:pt idx="3">
                  <c:v>DWG</c:v>
                </c:pt>
                <c:pt idx="4">
                  <c:v>SWP</c:v>
                </c:pt>
                <c:pt idx="5">
                  <c:v>HVC</c:v>
                </c:pt>
                <c:pt idx="6">
                  <c:v>FIN</c:v>
                </c:pt>
                <c:pt idx="7">
                  <c:v>LAN</c:v>
                </c:pt>
                <c:pt idx="8">
                  <c:v>FAB</c:v>
                </c:pt>
                <c:pt idx="9">
                  <c:v>CSA</c:v>
                </c:pt>
                <c:pt idx="10">
                  <c:v>PRF</c:v>
                </c:pt>
                <c:pt idx="11">
                  <c:v>STC</c:v>
                </c:pt>
                <c:pt idx="12">
                  <c:v>PTC</c:v>
                </c:pt>
                <c:pt idx="13">
                  <c:v>CON</c:v>
                </c:pt>
              </c:strCache>
            </c:strRef>
          </c:cat>
          <c:val>
            <c:numRef>
              <c:f>'Project Summary'!$G$7:$G$20</c:f>
              <c:numCache>
                <c:formatCode>_(* #,##0.00_);_(* \(#,##0.00\);_(* "-"??_);_(@_)</c:formatCode>
                <c:ptCount val="14"/>
                <c:pt idx="0">
                  <c:v>1535000</c:v>
                </c:pt>
                <c:pt idx="1">
                  <c:v>0</c:v>
                </c:pt>
                <c:pt idx="2">
                  <c:v>13530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296520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B5-4E77-B0AE-987D91B28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1881759"/>
        <c:axId val="101896639"/>
      </c:barChart>
      <c:lineChart>
        <c:grouping val="standard"/>
        <c:varyColors val="0"/>
        <c:ser>
          <c:idx val="1"/>
          <c:order val="1"/>
          <c:tx>
            <c:strRef>
              <c:f>'Project Summary'!$F$6</c:f>
              <c:strCache>
                <c:ptCount val="1"/>
                <c:pt idx="0">
                  <c:v>% Progress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'Project Summary'!$B$7:$B$20</c:f>
              <c:strCache>
                <c:ptCount val="14"/>
                <c:pt idx="0">
                  <c:v>CIV</c:v>
                </c:pt>
                <c:pt idx="1">
                  <c:v>PLB</c:v>
                </c:pt>
                <c:pt idx="2">
                  <c:v>ELC</c:v>
                </c:pt>
                <c:pt idx="3">
                  <c:v>DWG</c:v>
                </c:pt>
                <c:pt idx="4">
                  <c:v>SWP</c:v>
                </c:pt>
                <c:pt idx="5">
                  <c:v>HVC</c:v>
                </c:pt>
                <c:pt idx="6">
                  <c:v>FIN</c:v>
                </c:pt>
                <c:pt idx="7">
                  <c:v>LAN</c:v>
                </c:pt>
                <c:pt idx="8">
                  <c:v>FAB</c:v>
                </c:pt>
                <c:pt idx="9">
                  <c:v>CSA</c:v>
                </c:pt>
                <c:pt idx="10">
                  <c:v>PRF</c:v>
                </c:pt>
                <c:pt idx="11">
                  <c:v>STC</c:v>
                </c:pt>
                <c:pt idx="12">
                  <c:v>PTC</c:v>
                </c:pt>
                <c:pt idx="13">
                  <c:v>CON</c:v>
                </c:pt>
              </c:strCache>
            </c:strRef>
          </c:cat>
          <c:val>
            <c:numRef>
              <c:f>'Project Summary'!$F$7:$F$20</c:f>
              <c:numCache>
                <c:formatCode>0%</c:formatCode>
                <c:ptCount val="14"/>
                <c:pt idx="0">
                  <c:v>0.51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B5-4E77-B0AE-987D91B28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6219471"/>
        <c:axId val="246212751"/>
      </c:lineChart>
      <c:catAx>
        <c:axId val="101881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96639"/>
        <c:crosses val="autoZero"/>
        <c:auto val="1"/>
        <c:lblAlgn val="ctr"/>
        <c:lblOffset val="100"/>
        <c:noMultiLvlLbl val="0"/>
      </c:catAx>
      <c:valAx>
        <c:axId val="101896639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cross"/>
        <c:minorTickMark val="out"/>
        <c:tickLblPos val="nextTo"/>
        <c:spPr>
          <a:noFill/>
          <a:ln>
            <a:solidFill>
              <a:srgbClr val="FF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81759"/>
        <c:crosses val="autoZero"/>
        <c:crossBetween val="between"/>
        <c:majorUnit val="1000000"/>
      </c:valAx>
      <c:valAx>
        <c:axId val="246212751"/>
        <c:scaling>
          <c:orientation val="minMax"/>
          <c:max val="1"/>
        </c:scaling>
        <c:delete val="0"/>
        <c:axPos val="r"/>
        <c:numFmt formatCode="0%" sourceLinked="0"/>
        <c:majorTickMark val="cross"/>
        <c:minorTickMark val="out"/>
        <c:tickLblPos val="nextTo"/>
        <c:spPr>
          <a:noFill/>
          <a:ln w="12700" cmpd="sng">
            <a:solidFill>
              <a:srgbClr val="FF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219471"/>
        <c:crosses val="max"/>
        <c:crossBetween val="between"/>
        <c:majorUnit val="0.2"/>
      </c:valAx>
      <c:catAx>
        <c:axId val="2462194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62127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007604704393276"/>
          <c:y val="0.92789657490618249"/>
          <c:w val="0.35046493182810873"/>
          <c:h val="4.16488120952842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134471</xdr:colOff>
      <xdr:row>22</xdr:row>
      <xdr:rowOff>8964</xdr:rowOff>
    </xdr:from>
    <xdr:to>
      <xdr:col>6</xdr:col>
      <xdr:colOff>869577</xdr:colOff>
      <xdr:row>50</xdr:row>
      <xdr:rowOff>134470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CEECAE-2C55-8EE1-BF49-56C2A0185A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99CDE-FE8E-4803-825F-C3BC4EAE434F}">
  <dimension ref="B2:G20"/>
  <sheetViews>
    <sheetView view="pageBreakPreview" zoomScale="85" zoomScaleNormal="85" zoomScaleSheetLayoutView="85" workbookViewId="0">
      <selection activeCell="D53" sqref="D53"/>
    </sheetView>
  </sheetViews>
  <sheetFormatPr defaultRowHeight="14.4" x14ac:dyDescent="0.3"/>
  <cols>
    <col min="2" max="2" width="17.5546875" customWidth="1"/>
    <col min="3" max="4" width="39.33203125" customWidth="1"/>
    <col min="5" max="5" width="18.44140625" style="9" customWidth="1"/>
    <col min="6" max="6" width="22.109375" customWidth="1"/>
    <col min="7" max="7" width="15.33203125" style="9" customWidth="1"/>
  </cols>
  <sheetData>
    <row r="2" spans="2:7" ht="14.4" customHeight="1" x14ac:dyDescent="0.3">
      <c r="B2" s="12" t="s">
        <v>0</v>
      </c>
      <c r="C2" s="4" t="s">
        <v>1</v>
      </c>
      <c r="F2" s="68" t="s">
        <v>2</v>
      </c>
      <c r="G2" s="68"/>
    </row>
    <row r="3" spans="2:7" ht="14.4" customHeight="1" x14ac:dyDescent="0.3">
      <c r="B3" s="12" t="s">
        <v>3</v>
      </c>
      <c r="C3" s="4" t="s">
        <v>4</v>
      </c>
      <c r="F3" s="68"/>
      <c r="G3" s="68"/>
    </row>
    <row r="4" spans="2:7" ht="15" customHeight="1" x14ac:dyDescent="0.3">
      <c r="B4" s="12" t="s">
        <v>5</v>
      </c>
      <c r="C4" s="29">
        <f>'03-Work Order Tracker'!C4</f>
        <v>46026</v>
      </c>
      <c r="D4" s="52"/>
      <c r="F4" s="68"/>
      <c r="G4" s="68"/>
    </row>
    <row r="6" spans="2:7" x14ac:dyDescent="0.3">
      <c r="B6" s="5" t="s">
        <v>6</v>
      </c>
      <c r="C6" s="5" t="s">
        <v>7</v>
      </c>
      <c r="D6" s="5" t="s">
        <v>8</v>
      </c>
      <c r="E6" s="17" t="s">
        <v>9</v>
      </c>
      <c r="F6" s="5" t="s">
        <v>10</v>
      </c>
      <c r="G6" s="17" t="s">
        <v>11</v>
      </c>
    </row>
    <row r="7" spans="2:7" x14ac:dyDescent="0.3">
      <c r="B7" s="14" t="str">
        <f>'Code-Categories'!B3</f>
        <v>CIV</v>
      </c>
      <c r="C7" s="37" t="str">
        <f>'Code-Categories'!C3</f>
        <v>Civil Works</v>
      </c>
      <c r="D7" s="33">
        <f>'Baseline Budget'!C19</f>
        <v>15000000</v>
      </c>
      <c r="E7" s="8" cm="1">
        <f t="array" ref="E7:E20">'03-Work Order Tracker'!N7:N20</f>
        <v>10107425.949999999</v>
      </c>
      <c r="F7" s="13" cm="1">
        <f t="array" ref="F7:F20">'02-Weekly Progress Report'!M7:M20</f>
        <v>0.51</v>
      </c>
      <c r="G7" s="8" cm="1">
        <f t="array" ref="G7:G20">'04-Payment Certificate Tracker'!L7:L20</f>
        <v>1535000</v>
      </c>
    </row>
    <row r="8" spans="2:7" x14ac:dyDescent="0.3">
      <c r="B8" s="14" t="str">
        <f>'Code-Categories'!B4</f>
        <v>PLB</v>
      </c>
      <c r="C8" s="37" t="str">
        <f>'Code-Categories'!C4</f>
        <v>Plumbing Works</v>
      </c>
      <c r="D8" s="4"/>
      <c r="E8" s="8">
        <v>0</v>
      </c>
      <c r="F8" s="13">
        <v>0</v>
      </c>
      <c r="G8" s="8">
        <v>0</v>
      </c>
    </row>
    <row r="9" spans="2:7" x14ac:dyDescent="0.3">
      <c r="B9" s="14" t="str">
        <f>'Code-Categories'!B5</f>
        <v>ELC</v>
      </c>
      <c r="C9" s="37" t="str">
        <f>'Code-Categories'!C5</f>
        <v>Electrical Works</v>
      </c>
      <c r="D9" s="4"/>
      <c r="E9" s="8">
        <v>13530</v>
      </c>
      <c r="F9" s="13">
        <v>1</v>
      </c>
      <c r="G9" s="8">
        <v>13530</v>
      </c>
    </row>
    <row r="10" spans="2:7" x14ac:dyDescent="0.3">
      <c r="B10" s="14" t="str">
        <f>'Code-Categories'!B6</f>
        <v>DWG</v>
      </c>
      <c r="C10" s="37" t="str">
        <f>'Code-Categories'!C6</f>
        <v>Doors, Windows &amp; Glazing</v>
      </c>
      <c r="D10" s="4"/>
      <c r="E10" s="8">
        <v>0</v>
      </c>
      <c r="F10" s="13">
        <v>0</v>
      </c>
      <c r="G10" s="8">
        <v>0</v>
      </c>
    </row>
    <row r="11" spans="2:7" x14ac:dyDescent="0.3">
      <c r="B11" s="14" t="str">
        <f>'Code-Categories'!B7</f>
        <v>SWP</v>
      </c>
      <c r="C11" s="37" t="str">
        <f>'Code-Categories'!C7</f>
        <v>Swimming Pool Works</v>
      </c>
      <c r="D11" s="4"/>
      <c r="E11" s="8">
        <v>0</v>
      </c>
      <c r="F11" s="13">
        <v>0</v>
      </c>
      <c r="G11" s="8">
        <v>0</v>
      </c>
    </row>
    <row r="12" spans="2:7" x14ac:dyDescent="0.3">
      <c r="B12" s="14" t="str">
        <f>'Code-Categories'!B8</f>
        <v>HVC</v>
      </c>
      <c r="C12" s="37" t="str">
        <f>'Code-Categories'!C8</f>
        <v>HVAC / Air Conditioning</v>
      </c>
      <c r="D12" s="4"/>
      <c r="E12" s="8">
        <v>0</v>
      </c>
      <c r="F12" s="13">
        <v>0</v>
      </c>
      <c r="G12" s="8">
        <v>0</v>
      </c>
    </row>
    <row r="13" spans="2:7" x14ac:dyDescent="0.3">
      <c r="B13" s="14" t="str">
        <f>'Code-Categories'!B9</f>
        <v>FIN</v>
      </c>
      <c r="C13" s="37" t="str">
        <f>'Code-Categories'!C9</f>
        <v>Finishing Works</v>
      </c>
      <c r="D13" s="4"/>
      <c r="E13" s="8">
        <v>0</v>
      </c>
      <c r="F13" s="13">
        <v>0</v>
      </c>
      <c r="G13" s="8">
        <v>0</v>
      </c>
    </row>
    <row r="14" spans="2:7" x14ac:dyDescent="0.3">
      <c r="B14" s="14" t="str">
        <f>'Code-Categories'!B10</f>
        <v>LAN</v>
      </c>
      <c r="C14" s="37" t="str">
        <f>'Code-Categories'!C10</f>
        <v>Landscapping &amp; External Works</v>
      </c>
      <c r="D14" s="4"/>
      <c r="E14" s="8">
        <v>0</v>
      </c>
      <c r="F14" s="13">
        <v>0</v>
      </c>
      <c r="G14" s="8">
        <v>0</v>
      </c>
    </row>
    <row r="15" spans="2:7" x14ac:dyDescent="0.3">
      <c r="B15" s="14" t="str">
        <f>'Code-Categories'!B11</f>
        <v>FAB</v>
      </c>
      <c r="C15" s="37" t="str">
        <f>'Code-Categories'!C11</f>
        <v>Metal &amp; Steel Fabrication</v>
      </c>
      <c r="D15" s="4"/>
      <c r="E15" s="8">
        <v>0</v>
      </c>
      <c r="F15" s="13">
        <v>0</v>
      </c>
      <c r="G15" s="8">
        <v>0</v>
      </c>
    </row>
    <row r="16" spans="2:7" x14ac:dyDescent="0.3">
      <c r="B16" s="14" t="str">
        <f>'Code-Categories'!B12</f>
        <v>CSA</v>
      </c>
      <c r="C16" s="37" t="str">
        <f>'Code-Categories'!C12</f>
        <v>Client Supplied Assets</v>
      </c>
      <c r="D16" s="4"/>
      <c r="E16" s="8">
        <v>0</v>
      </c>
      <c r="F16" s="13">
        <v>0</v>
      </c>
      <c r="G16" s="8">
        <v>0</v>
      </c>
    </row>
    <row r="17" spans="2:7" x14ac:dyDescent="0.3">
      <c r="B17" s="14" t="str">
        <f>'Code-Categories'!B13</f>
        <v>PRF</v>
      </c>
      <c r="C17" s="37" t="str">
        <f>'Code-Categories'!C13</f>
        <v>Professional Fees</v>
      </c>
      <c r="D17" s="4"/>
      <c r="E17" s="8">
        <v>14000</v>
      </c>
      <c r="F17" s="13">
        <v>1</v>
      </c>
      <c r="G17" s="8">
        <v>296520</v>
      </c>
    </row>
    <row r="18" spans="2:7" x14ac:dyDescent="0.3">
      <c r="B18" s="14" t="str">
        <f>'Code-Categories'!B14</f>
        <v>STC</v>
      </c>
      <c r="C18" s="37" t="str">
        <f>'Code-Categories'!C14</f>
        <v>Approvals &amp; Statutory Charges</v>
      </c>
      <c r="D18" s="4"/>
      <c r="E18" s="8">
        <v>0</v>
      </c>
      <c r="F18" s="13">
        <v>0</v>
      </c>
      <c r="G18" s="8">
        <v>0</v>
      </c>
    </row>
    <row r="19" spans="2:7" x14ac:dyDescent="0.3">
      <c r="B19" s="14" t="str">
        <f>'Code-Categories'!B15</f>
        <v>PTC</v>
      </c>
      <c r="C19" s="37" t="str">
        <f>'Code-Categories'!C15</f>
        <v>Petty Cash / Running Expenses</v>
      </c>
      <c r="D19" s="4"/>
      <c r="E19" s="8">
        <v>0</v>
      </c>
      <c r="F19" s="13">
        <v>0</v>
      </c>
      <c r="G19" s="8">
        <v>0</v>
      </c>
    </row>
    <row r="20" spans="2:7" x14ac:dyDescent="0.3">
      <c r="B20" s="14" t="str">
        <f>'Code-Categories'!B16</f>
        <v>CON</v>
      </c>
      <c r="C20" s="37" t="str">
        <f>'Code-Categories'!C16</f>
        <v>Contingency</v>
      </c>
      <c r="D20" s="4"/>
      <c r="E20" s="8">
        <v>0</v>
      </c>
      <c r="F20" s="13">
        <v>0</v>
      </c>
      <c r="G20" s="8">
        <v>0</v>
      </c>
    </row>
  </sheetData>
  <mergeCells count="1">
    <mergeCell ref="F2:G4"/>
  </mergeCells>
  <conditionalFormatting sqref="F7:F20">
    <cfRule type="dataBar" priority="1">
      <dataBar>
        <cfvo type="num" val="0"/>
        <cfvo type="num" val="1"/>
        <color theme="9" tint="0.39997558519241921"/>
      </dataBar>
      <extLst>
        <ext xmlns:x14="http://schemas.microsoft.com/office/spreadsheetml/2009/9/main" uri="{B025F937-C7B1-47D3-B67F-A62EFF666E3E}">
          <x14:id>{14154756-89A2-4D76-B29C-0F4BA5BD9C98}</x14:id>
        </ext>
      </extLst>
    </cfRule>
  </conditionalFormatting>
  <pageMargins left="0.23622047244094491" right="0.23622047244094491" top="0.74803149606299213" bottom="0.74803149606299213" header="0.31496062992125984" footer="0.31496062992125984"/>
  <pageSetup paperSize="8" scale="94" fitToHeight="0" orientation="portrait" r:id="rId1"/>
  <headerFooter>
    <oddFooter>Page &amp;P of 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154756-89A2-4D76-B29C-0F4BA5BD9C9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F7:F20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3A7D7-58B5-4C2A-A1B6-95D747E0C1AE}">
  <dimension ref="B2:F78"/>
  <sheetViews>
    <sheetView tabSelected="1" view="pageBreakPreview" zoomScaleNormal="100" zoomScaleSheetLayoutView="100" workbookViewId="0">
      <selection activeCell="C17" sqref="C17"/>
    </sheetView>
  </sheetViews>
  <sheetFormatPr defaultRowHeight="14.4" x14ac:dyDescent="0.3"/>
  <cols>
    <col min="2" max="2" width="16.44140625" style="26" customWidth="1"/>
    <col min="3" max="3" width="92.77734375" bestFit="1" customWidth="1"/>
    <col min="4" max="4" width="14.44140625" customWidth="1"/>
    <col min="5" max="5" width="11.44140625" customWidth="1"/>
    <col min="6" max="6" width="90.6640625" bestFit="1" customWidth="1"/>
  </cols>
  <sheetData>
    <row r="2" spans="2:6" ht="14.4" customHeight="1" x14ac:dyDescent="0.3">
      <c r="B2" s="27" t="s">
        <v>0</v>
      </c>
      <c r="C2" s="4" t="s">
        <v>1</v>
      </c>
      <c r="E2" s="69" t="s">
        <v>12</v>
      </c>
      <c r="F2" s="70"/>
    </row>
    <row r="3" spans="2:6" ht="14.4" customHeight="1" x14ac:dyDescent="0.3">
      <c r="B3" s="27" t="s">
        <v>3</v>
      </c>
      <c r="C3" s="4" t="s">
        <v>4</v>
      </c>
      <c r="E3" s="71"/>
      <c r="F3" s="72"/>
    </row>
    <row r="4" spans="2:6" ht="15" customHeight="1" x14ac:dyDescent="0.3">
      <c r="B4" s="27" t="s">
        <v>5</v>
      </c>
      <c r="C4" s="29">
        <v>46104</v>
      </c>
      <c r="E4" s="73"/>
      <c r="F4" s="74"/>
    </row>
    <row r="6" spans="2:6" x14ac:dyDescent="0.3">
      <c r="B6" s="28" t="s">
        <v>13</v>
      </c>
      <c r="C6" s="2" t="s">
        <v>14</v>
      </c>
      <c r="D6" s="2" t="s">
        <v>15</v>
      </c>
      <c r="E6" s="2" t="s">
        <v>16</v>
      </c>
      <c r="F6" s="3" t="s">
        <v>17</v>
      </c>
    </row>
    <row r="7" spans="2:6" x14ac:dyDescent="0.3">
      <c r="B7" s="25">
        <v>1</v>
      </c>
      <c r="C7" s="4" t="s">
        <v>159</v>
      </c>
      <c r="D7" s="4" t="s">
        <v>170</v>
      </c>
      <c r="E7" s="23">
        <v>46108</v>
      </c>
      <c r="F7" s="4"/>
    </row>
    <row r="8" spans="2:6" x14ac:dyDescent="0.3">
      <c r="B8" s="93">
        <v>2</v>
      </c>
      <c r="C8" s="4" t="s">
        <v>160</v>
      </c>
      <c r="D8" s="4" t="s">
        <v>170</v>
      </c>
      <c r="E8" s="23">
        <v>46108</v>
      </c>
      <c r="F8" s="4"/>
    </row>
    <row r="9" spans="2:6" x14ac:dyDescent="0.3">
      <c r="B9" s="25">
        <v>3</v>
      </c>
      <c r="C9" s="4" t="s">
        <v>161</v>
      </c>
      <c r="D9" s="4" t="s">
        <v>170</v>
      </c>
      <c r="E9" s="23">
        <v>46108</v>
      </c>
      <c r="F9" s="4"/>
    </row>
    <row r="10" spans="2:6" x14ac:dyDescent="0.3">
      <c r="B10" s="93">
        <v>4</v>
      </c>
      <c r="C10" s="4" t="s">
        <v>162</v>
      </c>
      <c r="D10" s="4" t="s">
        <v>170</v>
      </c>
      <c r="E10" s="23">
        <v>46108</v>
      </c>
      <c r="F10" s="4"/>
    </row>
    <row r="11" spans="2:6" x14ac:dyDescent="0.3">
      <c r="B11" s="25">
        <v>5</v>
      </c>
      <c r="C11" s="94" t="s">
        <v>163</v>
      </c>
      <c r="D11" s="4" t="s">
        <v>25</v>
      </c>
      <c r="E11" s="23">
        <v>46108</v>
      </c>
      <c r="F11" s="4" t="s">
        <v>182</v>
      </c>
    </row>
    <row r="12" spans="2:6" x14ac:dyDescent="0.3">
      <c r="B12" s="93">
        <v>6</v>
      </c>
      <c r="C12" s="4" t="s">
        <v>164</v>
      </c>
      <c r="D12" s="4" t="s">
        <v>170</v>
      </c>
      <c r="E12" s="23">
        <v>46108</v>
      </c>
      <c r="F12" s="4"/>
    </row>
    <row r="13" spans="2:6" x14ac:dyDescent="0.3">
      <c r="B13" s="25">
        <v>7</v>
      </c>
      <c r="C13" s="4" t="s">
        <v>165</v>
      </c>
      <c r="D13" s="4" t="s">
        <v>170</v>
      </c>
      <c r="E13" s="23">
        <v>46108</v>
      </c>
      <c r="F13" s="4"/>
    </row>
    <row r="14" spans="2:6" x14ac:dyDescent="0.3">
      <c r="B14" s="93">
        <v>8</v>
      </c>
      <c r="C14" s="4" t="s">
        <v>166</v>
      </c>
      <c r="D14" s="4" t="s">
        <v>170</v>
      </c>
      <c r="E14" s="23">
        <v>46108</v>
      </c>
      <c r="F14" s="4"/>
    </row>
    <row r="15" spans="2:6" x14ac:dyDescent="0.3">
      <c r="B15" s="25">
        <v>9</v>
      </c>
      <c r="C15" s="4" t="s">
        <v>167</v>
      </c>
      <c r="D15" s="4" t="s">
        <v>170</v>
      </c>
      <c r="E15" s="23">
        <v>46108</v>
      </c>
      <c r="F15" s="4"/>
    </row>
    <row r="16" spans="2:6" x14ac:dyDescent="0.3">
      <c r="B16" s="93">
        <v>10</v>
      </c>
      <c r="C16" s="4" t="s">
        <v>168</v>
      </c>
      <c r="D16" s="4" t="s">
        <v>170</v>
      </c>
      <c r="E16" s="23">
        <v>46108</v>
      </c>
      <c r="F16" s="4"/>
    </row>
    <row r="17" spans="2:6" x14ac:dyDescent="0.3">
      <c r="B17" s="25">
        <v>11</v>
      </c>
      <c r="C17" s="4" t="s">
        <v>169</v>
      </c>
      <c r="D17" s="4" t="s">
        <v>170</v>
      </c>
      <c r="E17" s="23">
        <v>46108</v>
      </c>
      <c r="F17" s="4"/>
    </row>
    <row r="18" spans="2:6" x14ac:dyDescent="0.3">
      <c r="B18" s="93">
        <v>12</v>
      </c>
      <c r="C18" s="4" t="s">
        <v>171</v>
      </c>
      <c r="D18" s="4" t="s">
        <v>25</v>
      </c>
      <c r="E18" s="23">
        <v>46106</v>
      </c>
      <c r="F18" s="4"/>
    </row>
    <row r="19" spans="2:6" x14ac:dyDescent="0.3">
      <c r="B19" s="25">
        <v>13</v>
      </c>
      <c r="C19" s="94" t="s">
        <v>172</v>
      </c>
      <c r="D19" s="4" t="s">
        <v>173</v>
      </c>
      <c r="E19" s="23">
        <v>46106</v>
      </c>
      <c r="F19" s="4"/>
    </row>
    <row r="20" spans="2:6" x14ac:dyDescent="0.3">
      <c r="B20" s="93">
        <v>14</v>
      </c>
      <c r="C20" s="4" t="s">
        <v>174</v>
      </c>
      <c r="D20" s="4" t="s">
        <v>25</v>
      </c>
      <c r="E20" s="23">
        <v>46111</v>
      </c>
      <c r="F20" s="4" t="s">
        <v>177</v>
      </c>
    </row>
    <row r="21" spans="2:6" x14ac:dyDescent="0.3">
      <c r="B21" s="25">
        <v>15</v>
      </c>
      <c r="C21" s="4" t="s">
        <v>183</v>
      </c>
      <c r="D21" s="4" t="s">
        <v>181</v>
      </c>
      <c r="E21" s="23">
        <v>46111</v>
      </c>
      <c r="F21" s="4"/>
    </row>
    <row r="22" spans="2:6" x14ac:dyDescent="0.3">
      <c r="B22" s="93">
        <v>16</v>
      </c>
      <c r="C22" s="4" t="s">
        <v>175</v>
      </c>
      <c r="D22" s="4" t="s">
        <v>25</v>
      </c>
      <c r="E22" s="23">
        <v>46122</v>
      </c>
      <c r="F22" s="4" t="s">
        <v>178</v>
      </c>
    </row>
    <row r="23" spans="2:6" x14ac:dyDescent="0.3">
      <c r="B23" s="25">
        <v>17</v>
      </c>
      <c r="C23" s="4" t="s">
        <v>184</v>
      </c>
      <c r="D23" s="4" t="s">
        <v>181</v>
      </c>
      <c r="E23" s="23">
        <v>46111</v>
      </c>
      <c r="F23" s="4"/>
    </row>
    <row r="24" spans="2:6" x14ac:dyDescent="0.3">
      <c r="B24" s="93">
        <v>18</v>
      </c>
      <c r="C24" s="4" t="s">
        <v>176</v>
      </c>
      <c r="D24" s="4" t="s">
        <v>25</v>
      </c>
      <c r="E24" s="23">
        <v>46122</v>
      </c>
      <c r="F24" s="4" t="s">
        <v>179</v>
      </c>
    </row>
    <row r="25" spans="2:6" x14ac:dyDescent="0.3">
      <c r="B25" s="25">
        <v>19</v>
      </c>
      <c r="C25" s="4" t="s">
        <v>180</v>
      </c>
      <c r="D25" s="4" t="s">
        <v>170</v>
      </c>
      <c r="E25" s="23">
        <v>46111</v>
      </c>
      <c r="F25" s="4"/>
    </row>
    <row r="26" spans="2:6" x14ac:dyDescent="0.3">
      <c r="B26" s="93">
        <v>20</v>
      </c>
      <c r="C26" s="4" t="s">
        <v>185</v>
      </c>
      <c r="D26" s="4" t="s">
        <v>170</v>
      </c>
      <c r="E26" s="23">
        <v>46111</v>
      </c>
      <c r="F26" s="4"/>
    </row>
    <row r="27" spans="2:6" x14ac:dyDescent="0.3">
      <c r="B27" s="93"/>
      <c r="C27" s="4"/>
      <c r="D27" s="4"/>
      <c r="E27" s="4"/>
      <c r="F27" s="4"/>
    </row>
    <row r="28" spans="2:6" x14ac:dyDescent="0.3">
      <c r="B28" s="93"/>
      <c r="C28" s="4"/>
      <c r="D28" s="4"/>
      <c r="E28" s="4"/>
      <c r="F28" s="4"/>
    </row>
    <row r="29" spans="2:6" x14ac:dyDescent="0.3">
      <c r="B29" s="93"/>
      <c r="C29" s="4"/>
      <c r="D29" s="4"/>
      <c r="E29" s="4"/>
      <c r="F29" s="4"/>
    </row>
    <row r="30" spans="2:6" x14ac:dyDescent="0.3">
      <c r="B30" s="25"/>
      <c r="C30" s="8"/>
      <c r="D30" s="8"/>
      <c r="E30" s="8"/>
      <c r="F30" s="4"/>
    </row>
    <row r="31" spans="2:6" x14ac:dyDescent="0.3">
      <c r="B31" s="28" t="s">
        <v>13</v>
      </c>
      <c r="C31" s="2" t="s">
        <v>38</v>
      </c>
      <c r="D31" s="2" t="s">
        <v>15</v>
      </c>
      <c r="E31" s="2" t="s">
        <v>16</v>
      </c>
      <c r="F31" s="3" t="s">
        <v>17</v>
      </c>
    </row>
    <row r="32" spans="2:6" x14ac:dyDescent="0.3">
      <c r="B32" s="87">
        <v>1</v>
      </c>
      <c r="C32" s="85" t="s">
        <v>18</v>
      </c>
      <c r="D32" s="85" t="s">
        <v>19</v>
      </c>
      <c r="E32" s="86">
        <v>45662</v>
      </c>
      <c r="F32" s="85" t="s">
        <v>20</v>
      </c>
    </row>
    <row r="33" spans="2:6" x14ac:dyDescent="0.3">
      <c r="B33" s="87">
        <v>2</v>
      </c>
      <c r="C33" s="85" t="s">
        <v>21</v>
      </c>
      <c r="D33" s="85" t="s">
        <v>22</v>
      </c>
      <c r="E33" s="86">
        <f>E7+4</f>
        <v>46112</v>
      </c>
      <c r="F33" s="85" t="s">
        <v>23</v>
      </c>
    </row>
    <row r="34" spans="2:6" x14ac:dyDescent="0.3">
      <c r="B34" s="87">
        <v>3</v>
      </c>
      <c r="C34" s="88" t="s">
        <v>24</v>
      </c>
      <c r="D34" s="88" t="s">
        <v>25</v>
      </c>
      <c r="E34" s="86">
        <f>E33+4</f>
        <v>46116</v>
      </c>
      <c r="F34" s="85" t="s">
        <v>26</v>
      </c>
    </row>
    <row r="35" spans="2:6" x14ac:dyDescent="0.3">
      <c r="B35" s="87">
        <v>4</v>
      </c>
      <c r="C35" s="88" t="s">
        <v>27</v>
      </c>
      <c r="D35" s="88" t="s">
        <v>25</v>
      </c>
      <c r="E35" s="89">
        <f>E34+3</f>
        <v>46119</v>
      </c>
      <c r="F35" s="85" t="s">
        <v>28</v>
      </c>
    </row>
    <row r="36" spans="2:6" x14ac:dyDescent="0.3">
      <c r="B36" s="87">
        <v>5</v>
      </c>
      <c r="C36" s="90" t="s">
        <v>29</v>
      </c>
      <c r="D36" s="88" t="s">
        <v>25</v>
      </c>
      <c r="E36" s="91">
        <f>E35+3</f>
        <v>46122</v>
      </c>
      <c r="F36" s="85" t="s">
        <v>30</v>
      </c>
    </row>
    <row r="37" spans="2:6" x14ac:dyDescent="0.3">
      <c r="B37" s="87">
        <v>6</v>
      </c>
      <c r="C37" s="88" t="s">
        <v>31</v>
      </c>
      <c r="D37" s="88" t="s">
        <v>25</v>
      </c>
      <c r="E37" s="89">
        <f>E33+1</f>
        <v>46113</v>
      </c>
      <c r="F37" s="85" t="s">
        <v>32</v>
      </c>
    </row>
    <row r="38" spans="2:6" x14ac:dyDescent="0.3">
      <c r="B38" s="87">
        <v>7</v>
      </c>
      <c r="C38" s="92" t="s">
        <v>33</v>
      </c>
      <c r="D38" s="88" t="s">
        <v>34</v>
      </c>
      <c r="E38" s="89">
        <f>E37+5</f>
        <v>46118</v>
      </c>
      <c r="F38" s="85" t="s">
        <v>35</v>
      </c>
    </row>
    <row r="39" spans="2:6" x14ac:dyDescent="0.3">
      <c r="B39" s="87">
        <v>8</v>
      </c>
      <c r="C39" s="88" t="s">
        <v>36</v>
      </c>
      <c r="D39" s="88" t="s">
        <v>25</v>
      </c>
      <c r="E39" s="89">
        <f>E38+6</f>
        <v>46124</v>
      </c>
      <c r="F39" s="85" t="s">
        <v>37</v>
      </c>
    </row>
    <row r="40" spans="2:6" x14ac:dyDescent="0.3">
      <c r="B40" s="25"/>
      <c r="C40" s="8"/>
      <c r="D40" s="8"/>
      <c r="E40" s="8"/>
      <c r="F40" s="4"/>
    </row>
    <row r="41" spans="2:6" x14ac:dyDescent="0.3">
      <c r="B41" s="25"/>
      <c r="C41" s="8"/>
      <c r="D41" s="8"/>
      <c r="E41" s="8"/>
      <c r="F41" s="4"/>
    </row>
    <row r="42" spans="2:6" x14ac:dyDescent="0.3">
      <c r="B42" s="25"/>
      <c r="C42" s="8"/>
      <c r="D42" s="8"/>
      <c r="E42" s="8"/>
      <c r="F42" s="4"/>
    </row>
    <row r="43" spans="2:6" x14ac:dyDescent="0.3">
      <c r="B43" s="25"/>
      <c r="C43" s="8"/>
      <c r="D43" s="8"/>
      <c r="E43" s="8"/>
      <c r="F43" s="4"/>
    </row>
    <row r="44" spans="2:6" x14ac:dyDescent="0.3">
      <c r="B44" s="25"/>
      <c r="C44" s="8"/>
      <c r="D44" s="8"/>
      <c r="E44" s="8"/>
      <c r="F44" s="4"/>
    </row>
    <row r="45" spans="2:6" x14ac:dyDescent="0.3">
      <c r="B45" s="25"/>
      <c r="C45" s="8"/>
      <c r="D45" s="8"/>
      <c r="E45" s="8"/>
      <c r="F45" s="4"/>
    </row>
    <row r="46" spans="2:6" x14ac:dyDescent="0.3">
      <c r="B46" s="25"/>
      <c r="C46" s="8"/>
      <c r="D46" s="8"/>
      <c r="E46" s="8"/>
      <c r="F46" s="4"/>
    </row>
    <row r="47" spans="2:6" x14ac:dyDescent="0.3">
      <c r="B47" s="25"/>
      <c r="C47" s="8"/>
      <c r="D47" s="8"/>
      <c r="E47" s="8"/>
      <c r="F47" s="4"/>
    </row>
    <row r="48" spans="2:6" x14ac:dyDescent="0.3">
      <c r="B48" s="25"/>
      <c r="C48" s="8"/>
      <c r="D48" s="8"/>
      <c r="E48" s="8"/>
      <c r="F48" s="4"/>
    </row>
    <row r="49" spans="2:6" x14ac:dyDescent="0.3">
      <c r="B49" s="25"/>
      <c r="C49" s="8"/>
      <c r="D49" s="8"/>
      <c r="E49" s="8"/>
      <c r="F49" s="4"/>
    </row>
    <row r="50" spans="2:6" x14ac:dyDescent="0.3">
      <c r="B50" s="25"/>
      <c r="C50" s="8"/>
      <c r="D50" s="8"/>
      <c r="E50" s="8"/>
      <c r="F50" s="4"/>
    </row>
    <row r="51" spans="2:6" x14ac:dyDescent="0.3">
      <c r="B51" s="25"/>
      <c r="C51" s="8"/>
      <c r="D51" s="8"/>
      <c r="E51" s="8"/>
      <c r="F51" s="4"/>
    </row>
    <row r="52" spans="2:6" x14ac:dyDescent="0.3">
      <c r="B52" s="25"/>
      <c r="C52" s="8"/>
      <c r="D52" s="8"/>
      <c r="E52" s="8"/>
      <c r="F52" s="4"/>
    </row>
    <row r="53" spans="2:6" x14ac:dyDescent="0.3">
      <c r="B53" s="25"/>
      <c r="C53" s="8"/>
      <c r="D53" s="8"/>
      <c r="E53" s="8"/>
      <c r="F53" s="4"/>
    </row>
    <row r="54" spans="2:6" x14ac:dyDescent="0.3">
      <c r="B54" s="25"/>
      <c r="C54" s="8"/>
      <c r="D54" s="8"/>
      <c r="E54" s="8"/>
      <c r="F54" s="4"/>
    </row>
    <row r="55" spans="2:6" x14ac:dyDescent="0.3">
      <c r="B55" s="25"/>
      <c r="C55" s="8"/>
      <c r="D55" s="8"/>
      <c r="E55" s="8"/>
      <c r="F55" s="4"/>
    </row>
    <row r="56" spans="2:6" x14ac:dyDescent="0.3">
      <c r="B56" s="25"/>
      <c r="C56" s="8"/>
      <c r="D56" s="8"/>
      <c r="E56" s="8"/>
      <c r="F56" s="4"/>
    </row>
    <row r="57" spans="2:6" x14ac:dyDescent="0.3">
      <c r="B57" s="25"/>
      <c r="C57" s="8"/>
      <c r="D57" s="8"/>
      <c r="E57" s="8"/>
      <c r="F57" s="4"/>
    </row>
    <row r="58" spans="2:6" x14ac:dyDescent="0.3">
      <c r="B58" s="25"/>
      <c r="C58" s="8"/>
      <c r="D58" s="8"/>
      <c r="E58" s="8"/>
      <c r="F58" s="4"/>
    </row>
    <row r="59" spans="2:6" x14ac:dyDescent="0.3">
      <c r="B59" s="25"/>
      <c r="C59" s="8"/>
      <c r="D59" s="8"/>
      <c r="E59" s="8"/>
      <c r="F59" s="4"/>
    </row>
    <row r="60" spans="2:6" x14ac:dyDescent="0.3">
      <c r="B60" s="25"/>
      <c r="C60" s="8"/>
      <c r="D60" s="8"/>
      <c r="E60" s="8"/>
      <c r="F60" s="4"/>
    </row>
    <row r="61" spans="2:6" x14ac:dyDescent="0.3">
      <c r="B61" s="25"/>
      <c r="C61" s="8"/>
      <c r="D61" s="8"/>
      <c r="E61" s="8"/>
      <c r="F61" s="4"/>
    </row>
    <row r="62" spans="2:6" x14ac:dyDescent="0.3">
      <c r="B62" s="25"/>
      <c r="C62" s="8"/>
      <c r="D62" s="8"/>
      <c r="E62" s="8"/>
      <c r="F62" s="4"/>
    </row>
    <row r="63" spans="2:6" x14ac:dyDescent="0.3">
      <c r="B63" s="25"/>
      <c r="C63" s="8"/>
      <c r="D63" s="8"/>
      <c r="E63" s="8"/>
      <c r="F63" s="4"/>
    </row>
    <row r="64" spans="2:6" x14ac:dyDescent="0.3">
      <c r="B64" s="25"/>
      <c r="C64" s="8"/>
      <c r="D64" s="8"/>
      <c r="E64" s="8"/>
      <c r="F64" s="4"/>
    </row>
    <row r="65" spans="2:6" x14ac:dyDescent="0.3">
      <c r="B65" s="25"/>
      <c r="C65" s="8"/>
      <c r="D65" s="8"/>
      <c r="E65" s="8"/>
      <c r="F65" s="4"/>
    </row>
    <row r="66" spans="2:6" x14ac:dyDescent="0.3">
      <c r="B66" s="25"/>
      <c r="C66" s="8"/>
      <c r="D66" s="8"/>
      <c r="E66" s="8"/>
      <c r="F66" s="4"/>
    </row>
    <row r="67" spans="2:6" x14ac:dyDescent="0.3">
      <c r="B67" s="25"/>
      <c r="C67" s="8"/>
      <c r="D67" s="8"/>
      <c r="E67" s="8"/>
      <c r="F67" s="4"/>
    </row>
    <row r="68" spans="2:6" x14ac:dyDescent="0.3">
      <c r="B68" s="25"/>
      <c r="C68" s="8"/>
      <c r="D68" s="8"/>
      <c r="E68" s="8"/>
      <c r="F68" s="4"/>
    </row>
    <row r="69" spans="2:6" x14ac:dyDescent="0.3">
      <c r="B69" s="25"/>
      <c r="C69" s="8"/>
      <c r="D69" s="8"/>
      <c r="E69" s="8"/>
      <c r="F69" s="4"/>
    </row>
    <row r="70" spans="2:6" x14ac:dyDescent="0.3">
      <c r="B70" s="25"/>
      <c r="C70" s="8"/>
      <c r="D70" s="8"/>
      <c r="E70" s="8"/>
      <c r="F70" s="4"/>
    </row>
    <row r="71" spans="2:6" x14ac:dyDescent="0.3">
      <c r="B71" s="25"/>
      <c r="C71" s="8"/>
      <c r="D71" s="8"/>
      <c r="E71" s="8"/>
      <c r="F71" s="4"/>
    </row>
    <row r="72" spans="2:6" x14ac:dyDescent="0.3">
      <c r="B72" s="25"/>
      <c r="C72" s="8"/>
      <c r="D72" s="8"/>
      <c r="E72" s="8"/>
      <c r="F72" s="4"/>
    </row>
    <row r="73" spans="2:6" x14ac:dyDescent="0.3">
      <c r="B73" s="25"/>
      <c r="C73" s="8"/>
      <c r="D73" s="8"/>
      <c r="E73" s="8"/>
      <c r="F73" s="4"/>
    </row>
    <row r="74" spans="2:6" x14ac:dyDescent="0.3">
      <c r="B74" s="25"/>
      <c r="C74" s="8"/>
      <c r="D74" s="8"/>
      <c r="E74" s="8"/>
      <c r="F74" s="4"/>
    </row>
    <row r="75" spans="2:6" x14ac:dyDescent="0.3">
      <c r="B75" s="25"/>
      <c r="C75" s="8"/>
      <c r="D75" s="8"/>
      <c r="E75" s="8"/>
      <c r="F75" s="4"/>
    </row>
    <row r="76" spans="2:6" x14ac:dyDescent="0.3">
      <c r="B76" s="25"/>
      <c r="C76" s="8"/>
      <c r="D76" s="8"/>
      <c r="E76" s="8"/>
      <c r="F76" s="4"/>
    </row>
    <row r="77" spans="2:6" x14ac:dyDescent="0.3">
      <c r="B77" s="25"/>
      <c r="C77" s="8"/>
      <c r="D77" s="8"/>
      <c r="E77" s="8"/>
      <c r="F77" s="4"/>
    </row>
    <row r="78" spans="2:6" x14ac:dyDescent="0.3">
      <c r="C78" s="9"/>
      <c r="D78" s="9"/>
      <c r="E78" s="9"/>
    </row>
  </sheetData>
  <mergeCells count="1">
    <mergeCell ref="E2:F4"/>
  </mergeCells>
  <pageMargins left="0.7" right="0.7" top="0.75" bottom="0.75" header="0.3" footer="0.3"/>
  <pageSetup scale="4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53340-CA37-4487-A1A0-974C00B74A55}">
  <dimension ref="B1:M65"/>
  <sheetViews>
    <sheetView view="pageBreakPreview" topLeftCell="B1" zoomScaleNormal="100" zoomScaleSheetLayoutView="100" workbookViewId="0">
      <selection activeCell="D19" sqref="D19"/>
    </sheetView>
  </sheetViews>
  <sheetFormatPr defaultRowHeight="14.4" x14ac:dyDescent="0.3"/>
  <cols>
    <col min="2" max="2" width="16.44140625" customWidth="1"/>
    <col min="3" max="3" width="19.109375" customWidth="1"/>
    <col min="4" max="4" width="19.6640625" style="1" customWidth="1"/>
    <col min="5" max="5" width="21.33203125" customWidth="1"/>
    <col min="6" max="6" width="10.6640625" bestFit="1" customWidth="1"/>
    <col min="7" max="7" width="11.44140625" bestFit="1" customWidth="1"/>
    <col min="8" max="8" width="18" customWidth="1"/>
    <col min="9" max="9" width="38.109375" customWidth="1"/>
    <col min="12" max="12" width="29.6640625" style="35" bestFit="1" customWidth="1"/>
    <col min="13" max="13" width="14.5546875" style="19" bestFit="1" customWidth="1"/>
  </cols>
  <sheetData>
    <row r="1" spans="2:13" ht="15" thickBot="1" x14ac:dyDescent="0.35"/>
    <row r="2" spans="2:13" x14ac:dyDescent="0.3">
      <c r="B2" s="12" t="s">
        <v>0</v>
      </c>
      <c r="C2" s="4" t="s">
        <v>1</v>
      </c>
      <c r="H2" s="62" t="s">
        <v>39</v>
      </c>
      <c r="I2" s="63"/>
    </row>
    <row r="3" spans="2:13" x14ac:dyDescent="0.3">
      <c r="B3" s="12" t="s">
        <v>3</v>
      </c>
      <c r="C3" s="4" t="s">
        <v>4</v>
      </c>
      <c r="H3" s="64"/>
      <c r="I3" s="65"/>
    </row>
    <row r="4" spans="2:13" ht="15" thickBot="1" x14ac:dyDescent="0.35">
      <c r="B4" s="12" t="s">
        <v>5</v>
      </c>
      <c r="C4" s="29">
        <f>'03-Work Order Tracker'!C4</f>
        <v>46026</v>
      </c>
      <c r="H4" s="66"/>
      <c r="I4" s="67"/>
    </row>
    <row r="6" spans="2:13" x14ac:dyDescent="0.3">
      <c r="B6" s="5" t="s">
        <v>6</v>
      </c>
      <c r="C6" s="2" t="s">
        <v>40</v>
      </c>
      <c r="D6" s="5" t="s">
        <v>41</v>
      </c>
      <c r="E6" s="2" t="s">
        <v>42</v>
      </c>
      <c r="F6" s="15" t="s">
        <v>43</v>
      </c>
      <c r="G6" s="15" t="s">
        <v>44</v>
      </c>
      <c r="H6" s="3" t="s">
        <v>45</v>
      </c>
      <c r="I6" s="3" t="s">
        <v>46</v>
      </c>
      <c r="K6" s="3" t="s">
        <v>6</v>
      </c>
      <c r="L6" s="53"/>
      <c r="M6" s="20" t="s">
        <v>47</v>
      </c>
    </row>
    <row r="7" spans="2:13" x14ac:dyDescent="0.3">
      <c r="B7" s="16" t="str">
        <f>'03-Work Order Tracker'!B7</f>
        <v>CIV</v>
      </c>
      <c r="C7" s="55" t="str">
        <f>'03-Work Order Tracker'!C7</f>
        <v>SS Construction</v>
      </c>
      <c r="D7" s="16" t="str">
        <f>'03-Work Order Tracker'!D7</f>
        <v>TAC_WO_25_003</v>
      </c>
      <c r="E7" s="23">
        <f>'03-Work Order Tracker'!E7</f>
        <v>46003</v>
      </c>
      <c r="F7" s="23">
        <f>'03-Work Order Tracker'!I7</f>
        <v>46005</v>
      </c>
      <c r="G7" s="23">
        <f>'03-Work Order Tracker'!J7</f>
        <v>46011</v>
      </c>
      <c r="H7" s="13">
        <v>1</v>
      </c>
      <c r="I7" s="4" t="s">
        <v>48</v>
      </c>
      <c r="K7" s="14" t="str">
        <f>'Code-Categories'!B3</f>
        <v>CIV</v>
      </c>
      <c r="L7" s="37" t="str">
        <f>'Code-Categories'!C3</f>
        <v>Civil Works</v>
      </c>
      <c r="M7" s="21">
        <f>AVERAGEIF($B$7:$B$64,K7,$H$7:$H$64)</f>
        <v>0.51</v>
      </c>
    </row>
    <row r="8" spans="2:13" x14ac:dyDescent="0.3">
      <c r="B8" s="16" t="str">
        <f>'03-Work Order Tracker'!B8</f>
        <v>ELC</v>
      </c>
      <c r="C8" s="55" t="str">
        <f>'03-Work Order Tracker'!C8</f>
        <v>Suraj Electrician</v>
      </c>
      <c r="D8" s="16" t="str">
        <f>'03-Work Order Tracker'!D8</f>
        <v>TAC_WO_25_004</v>
      </c>
      <c r="E8" s="23">
        <f>'03-Work Order Tracker'!E8</f>
        <v>46014</v>
      </c>
      <c r="F8" s="23">
        <f>'03-Work Order Tracker'!I8</f>
        <v>46014</v>
      </c>
      <c r="G8" s="23">
        <f>'03-Work Order Tracker'!J8</f>
        <v>46019</v>
      </c>
      <c r="H8" s="13">
        <v>1</v>
      </c>
      <c r="I8" s="4" t="s">
        <v>48</v>
      </c>
      <c r="K8" s="14" t="str">
        <f>'Code-Categories'!B4</f>
        <v>PLB</v>
      </c>
      <c r="L8" s="37" t="str">
        <f>'Code-Categories'!C4</f>
        <v>Plumbing Works</v>
      </c>
      <c r="M8" s="21">
        <f t="shared" ref="M8:M20" si="0">SUMIF($B$7:$B$38,K8,$H$7:$H$38)</f>
        <v>0</v>
      </c>
    </row>
    <row r="9" spans="2:13" x14ac:dyDescent="0.3">
      <c r="B9" s="6" t="s">
        <v>49</v>
      </c>
      <c r="C9" s="38" t="s">
        <v>50</v>
      </c>
      <c r="D9" s="6" t="s">
        <v>51</v>
      </c>
      <c r="E9" s="23">
        <v>46060</v>
      </c>
      <c r="F9" s="22">
        <v>46070</v>
      </c>
      <c r="G9" s="22">
        <v>46371</v>
      </c>
      <c r="H9" s="13">
        <v>0.02</v>
      </c>
      <c r="I9" s="4"/>
      <c r="K9" s="14" t="str">
        <f>'Code-Categories'!B5</f>
        <v>ELC</v>
      </c>
      <c r="L9" s="37" t="str">
        <f>'Code-Categories'!C5</f>
        <v>Electrical Works</v>
      </c>
      <c r="M9" s="21">
        <f t="shared" si="0"/>
        <v>1</v>
      </c>
    </row>
    <row r="10" spans="2:13" x14ac:dyDescent="0.3">
      <c r="B10" s="16" t="s">
        <v>52</v>
      </c>
      <c r="C10" s="38" t="s">
        <v>53</v>
      </c>
      <c r="D10" s="6" t="s">
        <v>54</v>
      </c>
      <c r="E10" s="22">
        <v>46082</v>
      </c>
      <c r="F10" s="22">
        <v>46071</v>
      </c>
      <c r="G10" s="22">
        <v>46071</v>
      </c>
      <c r="H10" s="13">
        <v>1</v>
      </c>
      <c r="I10" s="4" t="s">
        <v>48</v>
      </c>
      <c r="K10" s="14" t="str">
        <f>'Code-Categories'!B6</f>
        <v>DWG</v>
      </c>
      <c r="L10" s="37" t="str">
        <f>'Code-Categories'!C6</f>
        <v>Doors, Windows &amp; Glazing</v>
      </c>
      <c r="M10" s="21">
        <f t="shared" si="0"/>
        <v>0</v>
      </c>
    </row>
    <row r="11" spans="2:13" x14ac:dyDescent="0.3">
      <c r="B11" s="16"/>
      <c r="C11" s="8"/>
      <c r="D11" s="34"/>
      <c r="E11" s="8"/>
      <c r="F11" s="8"/>
      <c r="G11" s="8"/>
      <c r="H11" s="13"/>
      <c r="I11" s="4"/>
      <c r="K11" s="14" t="str">
        <f>'Code-Categories'!B7</f>
        <v>SWP</v>
      </c>
      <c r="L11" s="37" t="str">
        <f>'Code-Categories'!C7</f>
        <v>Swimming Pool Works</v>
      </c>
      <c r="M11" s="21">
        <f t="shared" si="0"/>
        <v>0</v>
      </c>
    </row>
    <row r="12" spans="2:13" x14ac:dyDescent="0.3">
      <c r="B12" s="16"/>
      <c r="C12" s="8"/>
      <c r="D12" s="34"/>
      <c r="E12" s="8"/>
      <c r="F12" s="8"/>
      <c r="G12" s="8"/>
      <c r="H12" s="13"/>
      <c r="I12" s="4"/>
      <c r="K12" s="14" t="str">
        <f>'Code-Categories'!B8</f>
        <v>HVC</v>
      </c>
      <c r="L12" s="37" t="str">
        <f>'Code-Categories'!C8</f>
        <v>HVAC / Air Conditioning</v>
      </c>
      <c r="M12" s="21">
        <f t="shared" si="0"/>
        <v>0</v>
      </c>
    </row>
    <row r="13" spans="2:13" x14ac:dyDescent="0.3">
      <c r="B13" s="16"/>
      <c r="C13" s="8"/>
      <c r="D13" s="34"/>
      <c r="E13" s="8"/>
      <c r="F13" s="8"/>
      <c r="G13" s="8"/>
      <c r="H13" s="13"/>
      <c r="I13" s="4"/>
      <c r="K13" s="14" t="str">
        <f>'Code-Categories'!B9</f>
        <v>FIN</v>
      </c>
      <c r="L13" s="37" t="str">
        <f>'Code-Categories'!C9</f>
        <v>Finishing Works</v>
      </c>
      <c r="M13" s="21">
        <f t="shared" si="0"/>
        <v>0</v>
      </c>
    </row>
    <row r="14" spans="2:13" x14ac:dyDescent="0.3">
      <c r="B14" s="16"/>
      <c r="C14" s="8"/>
      <c r="D14" s="34"/>
      <c r="E14" s="8"/>
      <c r="F14" s="8"/>
      <c r="G14" s="8"/>
      <c r="H14" s="13"/>
      <c r="I14" s="4"/>
      <c r="K14" s="14" t="str">
        <f>'Code-Categories'!B10</f>
        <v>LAN</v>
      </c>
      <c r="L14" s="37" t="str">
        <f>'Code-Categories'!C10</f>
        <v>Landscapping &amp; External Works</v>
      </c>
      <c r="M14" s="21">
        <f t="shared" si="0"/>
        <v>0</v>
      </c>
    </row>
    <row r="15" spans="2:13" x14ac:dyDescent="0.3">
      <c r="B15" s="16"/>
      <c r="C15" s="8"/>
      <c r="D15" s="34"/>
      <c r="E15" s="8"/>
      <c r="F15" s="8"/>
      <c r="G15" s="8"/>
      <c r="H15" s="13"/>
      <c r="I15" s="4"/>
      <c r="K15" s="14" t="str">
        <f>'Code-Categories'!B11</f>
        <v>FAB</v>
      </c>
      <c r="L15" s="37" t="str">
        <f>'Code-Categories'!C11</f>
        <v>Metal &amp; Steel Fabrication</v>
      </c>
      <c r="M15" s="21">
        <f t="shared" si="0"/>
        <v>0</v>
      </c>
    </row>
    <row r="16" spans="2:13" x14ac:dyDescent="0.3">
      <c r="B16" s="16"/>
      <c r="C16" s="8"/>
      <c r="D16" s="34"/>
      <c r="E16" s="8"/>
      <c r="F16" s="8"/>
      <c r="G16" s="8"/>
      <c r="H16" s="13"/>
      <c r="I16" s="4"/>
      <c r="K16" s="14" t="str">
        <f>'Code-Categories'!B12</f>
        <v>CSA</v>
      </c>
      <c r="L16" s="37" t="str">
        <f>'Code-Categories'!C12</f>
        <v>Client Supplied Assets</v>
      </c>
      <c r="M16" s="21">
        <f t="shared" si="0"/>
        <v>0</v>
      </c>
    </row>
    <row r="17" spans="2:13" x14ac:dyDescent="0.3">
      <c r="B17" s="16"/>
      <c r="C17" s="8"/>
      <c r="D17" s="34"/>
      <c r="E17" s="8"/>
      <c r="F17" s="8"/>
      <c r="G17" s="8"/>
      <c r="H17" s="13"/>
      <c r="I17" s="4"/>
      <c r="K17" s="14" t="str">
        <f>'Code-Categories'!B13</f>
        <v>PRF</v>
      </c>
      <c r="L17" s="37" t="str">
        <f>'Code-Categories'!C13</f>
        <v>Professional Fees</v>
      </c>
      <c r="M17" s="21">
        <f t="shared" si="0"/>
        <v>1</v>
      </c>
    </row>
    <row r="18" spans="2:13" x14ac:dyDescent="0.3">
      <c r="B18" s="16"/>
      <c r="C18" s="8"/>
      <c r="D18" s="34"/>
      <c r="E18" s="8"/>
      <c r="F18" s="8"/>
      <c r="G18" s="8"/>
      <c r="H18" s="13"/>
      <c r="I18" s="4"/>
      <c r="K18" s="14" t="str">
        <f>'Code-Categories'!B14</f>
        <v>STC</v>
      </c>
      <c r="L18" s="37" t="str">
        <f>'Code-Categories'!C14</f>
        <v>Approvals &amp; Statutory Charges</v>
      </c>
      <c r="M18" s="21">
        <f t="shared" si="0"/>
        <v>0</v>
      </c>
    </row>
    <row r="19" spans="2:13" x14ac:dyDescent="0.3">
      <c r="B19" s="16"/>
      <c r="C19" s="8"/>
      <c r="D19" s="34"/>
      <c r="E19" s="8"/>
      <c r="F19" s="8"/>
      <c r="G19" s="8"/>
      <c r="H19" s="13"/>
      <c r="I19" s="4"/>
      <c r="K19" s="14" t="str">
        <f>'Code-Categories'!B15</f>
        <v>PTC</v>
      </c>
      <c r="L19" s="37" t="str">
        <f>'Code-Categories'!C15</f>
        <v>Petty Cash / Running Expenses</v>
      </c>
      <c r="M19" s="21">
        <f t="shared" si="0"/>
        <v>0</v>
      </c>
    </row>
    <row r="20" spans="2:13" x14ac:dyDescent="0.3">
      <c r="B20" s="16"/>
      <c r="C20" s="8"/>
      <c r="D20" s="34"/>
      <c r="E20" s="8"/>
      <c r="F20" s="8"/>
      <c r="G20" s="8"/>
      <c r="H20" s="13"/>
      <c r="I20" s="4"/>
      <c r="K20" s="14" t="str">
        <f>'Code-Categories'!B16</f>
        <v>CON</v>
      </c>
      <c r="L20" s="37" t="str">
        <f>'Code-Categories'!C16</f>
        <v>Contingency</v>
      </c>
      <c r="M20" s="21">
        <f t="shared" si="0"/>
        <v>0</v>
      </c>
    </row>
    <row r="21" spans="2:13" x14ac:dyDescent="0.3">
      <c r="B21" s="16"/>
      <c r="C21" s="8"/>
      <c r="D21" s="34"/>
      <c r="E21" s="8"/>
      <c r="F21" s="8"/>
      <c r="G21" s="8"/>
      <c r="H21" s="13"/>
      <c r="I21" s="4"/>
    </row>
    <row r="22" spans="2:13" x14ac:dyDescent="0.3">
      <c r="B22" s="16"/>
      <c r="C22" s="8"/>
      <c r="D22" s="34"/>
      <c r="E22" s="8"/>
      <c r="F22" s="8"/>
      <c r="G22" s="8"/>
      <c r="H22" s="13"/>
      <c r="I22" s="4"/>
    </row>
    <row r="23" spans="2:13" x14ac:dyDescent="0.3">
      <c r="B23" s="16"/>
      <c r="C23" s="8"/>
      <c r="D23" s="34"/>
      <c r="E23" s="8"/>
      <c r="F23" s="8"/>
      <c r="G23" s="8"/>
      <c r="H23" s="13"/>
      <c r="I23" s="4"/>
    </row>
    <row r="24" spans="2:13" x14ac:dyDescent="0.3">
      <c r="B24" s="16"/>
      <c r="C24" s="8"/>
      <c r="D24" s="34"/>
      <c r="E24" s="8"/>
      <c r="F24" s="8"/>
      <c r="G24" s="8"/>
      <c r="H24" s="13"/>
      <c r="I24" s="4"/>
    </row>
    <row r="25" spans="2:13" x14ac:dyDescent="0.3">
      <c r="B25" s="16"/>
      <c r="C25" s="8"/>
      <c r="D25" s="34"/>
      <c r="E25" s="8"/>
      <c r="F25" s="8"/>
      <c r="G25" s="8"/>
      <c r="H25" s="13"/>
      <c r="I25" s="4"/>
    </row>
    <row r="26" spans="2:13" x14ac:dyDescent="0.3">
      <c r="B26" s="16"/>
      <c r="C26" s="8"/>
      <c r="D26" s="34"/>
      <c r="E26" s="8"/>
      <c r="F26" s="8"/>
      <c r="G26" s="8"/>
      <c r="H26" s="13"/>
      <c r="I26" s="4"/>
    </row>
    <row r="27" spans="2:13" x14ac:dyDescent="0.3">
      <c r="B27" s="16"/>
      <c r="C27" s="8"/>
      <c r="D27" s="34"/>
      <c r="E27" s="8"/>
      <c r="F27" s="8"/>
      <c r="G27" s="8"/>
      <c r="H27" s="13"/>
      <c r="I27" s="4"/>
    </row>
    <row r="28" spans="2:13" x14ac:dyDescent="0.3">
      <c r="B28" s="16"/>
      <c r="C28" s="8"/>
      <c r="D28" s="34"/>
      <c r="E28" s="8"/>
      <c r="F28" s="8"/>
      <c r="G28" s="8"/>
      <c r="H28" s="13"/>
      <c r="I28" s="4"/>
    </row>
    <row r="29" spans="2:13" x14ac:dyDescent="0.3">
      <c r="B29" s="16"/>
      <c r="C29" s="8"/>
      <c r="D29" s="34"/>
      <c r="E29" s="8"/>
      <c r="F29" s="8"/>
      <c r="G29" s="8"/>
      <c r="H29" s="13"/>
      <c r="I29" s="4"/>
    </row>
    <row r="30" spans="2:13" x14ac:dyDescent="0.3">
      <c r="B30" s="16"/>
      <c r="C30" s="8"/>
      <c r="D30" s="34"/>
      <c r="E30" s="8"/>
      <c r="F30" s="8"/>
      <c r="G30" s="8"/>
      <c r="H30" s="13"/>
      <c r="I30" s="4"/>
    </row>
    <row r="31" spans="2:13" x14ac:dyDescent="0.3">
      <c r="B31" s="16"/>
      <c r="C31" s="8"/>
      <c r="D31" s="34"/>
      <c r="E31" s="8"/>
      <c r="F31" s="8"/>
      <c r="G31" s="8"/>
      <c r="H31" s="13"/>
      <c r="I31" s="4"/>
    </row>
    <row r="32" spans="2:13" x14ac:dyDescent="0.3">
      <c r="B32" s="16"/>
      <c r="C32" s="8"/>
      <c r="D32" s="34"/>
      <c r="E32" s="8"/>
      <c r="F32" s="8"/>
      <c r="G32" s="8"/>
      <c r="H32" s="13"/>
      <c r="I32" s="4"/>
    </row>
    <row r="33" spans="2:9" x14ac:dyDescent="0.3">
      <c r="B33" s="16"/>
      <c r="C33" s="8"/>
      <c r="D33" s="34"/>
      <c r="E33" s="8"/>
      <c r="F33" s="8"/>
      <c r="G33" s="8"/>
      <c r="H33" s="13"/>
      <c r="I33" s="4"/>
    </row>
    <row r="34" spans="2:9" x14ac:dyDescent="0.3">
      <c r="B34" s="16"/>
      <c r="C34" s="8"/>
      <c r="D34" s="34"/>
      <c r="E34" s="8"/>
      <c r="F34" s="8"/>
      <c r="G34" s="8"/>
      <c r="H34" s="13"/>
      <c r="I34" s="4"/>
    </row>
    <row r="35" spans="2:9" x14ac:dyDescent="0.3">
      <c r="B35" s="16"/>
      <c r="C35" s="8"/>
      <c r="D35" s="34"/>
      <c r="E35" s="8"/>
      <c r="F35" s="8"/>
      <c r="G35" s="8"/>
      <c r="H35" s="13"/>
      <c r="I35" s="4"/>
    </row>
    <row r="36" spans="2:9" x14ac:dyDescent="0.3">
      <c r="B36" s="16"/>
      <c r="C36" s="8"/>
      <c r="D36" s="34"/>
      <c r="E36" s="8"/>
      <c r="F36" s="8"/>
      <c r="G36" s="8"/>
      <c r="H36" s="13"/>
      <c r="I36" s="4"/>
    </row>
    <row r="37" spans="2:9" x14ac:dyDescent="0.3">
      <c r="B37" s="16"/>
      <c r="C37" s="8"/>
      <c r="D37" s="34"/>
      <c r="E37" s="8"/>
      <c r="F37" s="8"/>
      <c r="G37" s="8"/>
      <c r="H37" s="13"/>
      <c r="I37" s="4"/>
    </row>
    <row r="38" spans="2:9" x14ac:dyDescent="0.3">
      <c r="B38" s="16"/>
      <c r="C38" s="8"/>
      <c r="D38" s="34"/>
      <c r="E38" s="8"/>
      <c r="F38" s="8"/>
      <c r="G38" s="8"/>
      <c r="H38" s="13"/>
      <c r="I38" s="4"/>
    </row>
    <row r="39" spans="2:9" x14ac:dyDescent="0.3">
      <c r="B39" s="16"/>
      <c r="C39" s="8"/>
      <c r="D39" s="34"/>
      <c r="E39" s="8"/>
      <c r="F39" s="8"/>
      <c r="G39" s="8"/>
      <c r="H39" s="13"/>
      <c r="I39" s="4"/>
    </row>
    <row r="40" spans="2:9" x14ac:dyDescent="0.3">
      <c r="B40" s="16"/>
      <c r="C40" s="8"/>
      <c r="D40" s="34"/>
      <c r="E40" s="8"/>
      <c r="F40" s="8"/>
      <c r="G40" s="8"/>
      <c r="H40" s="13"/>
      <c r="I40" s="4"/>
    </row>
    <row r="41" spans="2:9" x14ac:dyDescent="0.3">
      <c r="B41" s="16"/>
      <c r="C41" s="8"/>
      <c r="D41" s="34"/>
      <c r="E41" s="8"/>
      <c r="F41" s="8"/>
      <c r="G41" s="8"/>
      <c r="H41" s="13"/>
      <c r="I41" s="4"/>
    </row>
    <row r="42" spans="2:9" x14ac:dyDescent="0.3">
      <c r="B42" s="16"/>
      <c r="C42" s="8"/>
      <c r="D42" s="34"/>
      <c r="E42" s="8"/>
      <c r="F42" s="8"/>
      <c r="G42" s="8"/>
      <c r="H42" s="13"/>
      <c r="I42" s="4"/>
    </row>
    <row r="43" spans="2:9" x14ac:dyDescent="0.3">
      <c r="B43" s="16"/>
      <c r="C43" s="8"/>
      <c r="D43" s="34"/>
      <c r="E43" s="8"/>
      <c r="F43" s="8"/>
      <c r="G43" s="8"/>
      <c r="H43" s="13"/>
      <c r="I43" s="4"/>
    </row>
    <row r="44" spans="2:9" x14ac:dyDescent="0.3">
      <c r="B44" s="16"/>
      <c r="C44" s="8"/>
      <c r="D44" s="34"/>
      <c r="E44" s="8"/>
      <c r="F44" s="8"/>
      <c r="G44" s="8"/>
      <c r="H44" s="13"/>
      <c r="I44" s="4"/>
    </row>
    <row r="45" spans="2:9" x14ac:dyDescent="0.3">
      <c r="B45" s="16"/>
      <c r="C45" s="8"/>
      <c r="D45" s="34"/>
      <c r="E45" s="8"/>
      <c r="F45" s="8"/>
      <c r="G45" s="8"/>
      <c r="H45" s="13"/>
      <c r="I45" s="4"/>
    </row>
    <row r="46" spans="2:9" x14ac:dyDescent="0.3">
      <c r="B46" s="16"/>
      <c r="C46" s="8"/>
      <c r="D46" s="34"/>
      <c r="E46" s="8"/>
      <c r="F46" s="8"/>
      <c r="G46" s="8"/>
      <c r="H46" s="13"/>
      <c r="I46" s="4"/>
    </row>
    <row r="47" spans="2:9" x14ac:dyDescent="0.3">
      <c r="B47" s="16"/>
      <c r="C47" s="8"/>
      <c r="D47" s="34"/>
      <c r="E47" s="8"/>
      <c r="F47" s="8"/>
      <c r="G47" s="8"/>
      <c r="H47" s="13"/>
      <c r="I47" s="4"/>
    </row>
    <row r="48" spans="2:9" x14ac:dyDescent="0.3">
      <c r="B48" s="16"/>
      <c r="C48" s="8"/>
      <c r="D48" s="34"/>
      <c r="E48" s="8"/>
      <c r="F48" s="8"/>
      <c r="G48" s="8"/>
      <c r="H48" s="13"/>
      <c r="I48" s="4"/>
    </row>
    <row r="49" spans="2:9" x14ac:dyDescent="0.3">
      <c r="B49" s="16"/>
      <c r="C49" s="8"/>
      <c r="D49" s="34"/>
      <c r="E49" s="8"/>
      <c r="F49" s="8"/>
      <c r="G49" s="8"/>
      <c r="H49" s="13"/>
      <c r="I49" s="4"/>
    </row>
    <row r="50" spans="2:9" x14ac:dyDescent="0.3">
      <c r="B50" s="16"/>
      <c r="C50" s="8"/>
      <c r="D50" s="34"/>
      <c r="E50" s="8"/>
      <c r="F50" s="8"/>
      <c r="G50" s="8"/>
      <c r="H50" s="13"/>
      <c r="I50" s="4"/>
    </row>
    <row r="51" spans="2:9" x14ac:dyDescent="0.3">
      <c r="B51" s="16"/>
      <c r="C51" s="8"/>
      <c r="D51" s="34"/>
      <c r="E51" s="8"/>
      <c r="F51" s="8"/>
      <c r="G51" s="8"/>
      <c r="H51" s="13"/>
      <c r="I51" s="4"/>
    </row>
    <row r="52" spans="2:9" x14ac:dyDescent="0.3">
      <c r="B52" s="16"/>
      <c r="C52" s="8"/>
      <c r="D52" s="34"/>
      <c r="E52" s="8"/>
      <c r="F52" s="8"/>
      <c r="G52" s="8"/>
      <c r="H52" s="13"/>
      <c r="I52" s="4"/>
    </row>
    <row r="53" spans="2:9" x14ac:dyDescent="0.3">
      <c r="B53" s="16"/>
      <c r="C53" s="8"/>
      <c r="D53" s="34"/>
      <c r="E53" s="8"/>
      <c r="F53" s="8"/>
      <c r="G53" s="8"/>
      <c r="H53" s="13"/>
      <c r="I53" s="4"/>
    </row>
    <row r="54" spans="2:9" x14ac:dyDescent="0.3">
      <c r="B54" s="16"/>
      <c r="C54" s="8"/>
      <c r="D54" s="34"/>
      <c r="E54" s="8"/>
      <c r="F54" s="8"/>
      <c r="G54" s="8"/>
      <c r="H54" s="13"/>
      <c r="I54" s="4"/>
    </row>
    <row r="55" spans="2:9" x14ac:dyDescent="0.3">
      <c r="B55" s="16"/>
      <c r="C55" s="8"/>
      <c r="D55" s="34"/>
      <c r="E55" s="8"/>
      <c r="F55" s="8"/>
      <c r="G55" s="8"/>
      <c r="H55" s="13"/>
      <c r="I55" s="4"/>
    </row>
    <row r="56" spans="2:9" x14ac:dyDescent="0.3">
      <c r="B56" s="16"/>
      <c r="C56" s="8"/>
      <c r="D56" s="34"/>
      <c r="E56" s="8"/>
      <c r="F56" s="8"/>
      <c r="G56" s="8"/>
      <c r="H56" s="13"/>
      <c r="I56" s="4"/>
    </row>
    <row r="57" spans="2:9" x14ac:dyDescent="0.3">
      <c r="B57" s="16"/>
      <c r="C57" s="8"/>
      <c r="D57" s="34"/>
      <c r="E57" s="8"/>
      <c r="F57" s="8"/>
      <c r="G57" s="8"/>
      <c r="H57" s="13"/>
      <c r="I57" s="4"/>
    </row>
    <row r="58" spans="2:9" x14ac:dyDescent="0.3">
      <c r="B58" s="16"/>
      <c r="C58" s="8"/>
      <c r="D58" s="34"/>
      <c r="E58" s="8"/>
      <c r="F58" s="8"/>
      <c r="G58" s="8"/>
      <c r="H58" s="13"/>
      <c r="I58" s="4"/>
    </row>
    <row r="59" spans="2:9" x14ac:dyDescent="0.3">
      <c r="B59" s="16"/>
      <c r="C59" s="8"/>
      <c r="D59" s="34"/>
      <c r="E59" s="8"/>
      <c r="F59" s="8"/>
      <c r="G59" s="8"/>
      <c r="H59" s="13"/>
      <c r="I59" s="4"/>
    </row>
    <row r="60" spans="2:9" x14ac:dyDescent="0.3">
      <c r="B60" s="16"/>
      <c r="C60" s="8"/>
      <c r="D60" s="34"/>
      <c r="E60" s="8"/>
      <c r="F60" s="8"/>
      <c r="G60" s="8"/>
      <c r="H60" s="13"/>
      <c r="I60" s="4"/>
    </row>
    <row r="61" spans="2:9" x14ac:dyDescent="0.3">
      <c r="B61" s="16"/>
      <c r="C61" s="8"/>
      <c r="D61" s="34"/>
      <c r="E61" s="8"/>
      <c r="F61" s="8"/>
      <c r="G61" s="8"/>
      <c r="H61" s="13"/>
      <c r="I61" s="4"/>
    </row>
    <row r="62" spans="2:9" x14ac:dyDescent="0.3">
      <c r="B62" s="16"/>
      <c r="C62" s="8"/>
      <c r="D62" s="34"/>
      <c r="E62" s="8"/>
      <c r="F62" s="8"/>
      <c r="G62" s="8"/>
      <c r="H62" s="13"/>
      <c r="I62" s="4"/>
    </row>
    <row r="63" spans="2:9" x14ac:dyDescent="0.3">
      <c r="B63" s="16"/>
      <c r="C63" s="8"/>
      <c r="D63" s="34"/>
      <c r="E63" s="8"/>
      <c r="F63" s="8"/>
      <c r="G63" s="8"/>
      <c r="H63" s="13"/>
      <c r="I63" s="4"/>
    </row>
    <row r="64" spans="2:9" x14ac:dyDescent="0.3">
      <c r="B64" s="16"/>
      <c r="C64" s="8"/>
      <c r="D64" s="34"/>
      <c r="E64" s="8"/>
      <c r="F64" s="8"/>
      <c r="G64" s="8"/>
      <c r="H64" s="13"/>
      <c r="I64" s="4"/>
    </row>
    <row r="65" spans="2:7" x14ac:dyDescent="0.3">
      <c r="B65" s="9"/>
      <c r="C65" s="9"/>
      <c r="D65" s="54"/>
      <c r="E65" s="9"/>
      <c r="F65" s="9"/>
      <c r="G65" s="9"/>
    </row>
  </sheetData>
  <mergeCells count="1">
    <mergeCell ref="H2:I4"/>
  </mergeCells>
  <conditionalFormatting sqref="H7:H64">
    <cfRule type="dataBar" priority="1">
      <dataBar>
        <cfvo type="num" val="0"/>
        <cfvo type="num" val="1"/>
        <color theme="9" tint="0.39997558519241921"/>
      </dataBar>
      <extLst>
        <ext xmlns:x14="http://schemas.microsoft.com/office/spreadsheetml/2009/9/main" uri="{B025F937-C7B1-47D3-B67F-A62EFF666E3E}">
          <x14:id>{276C67DE-E524-4E91-837E-CCCCF85BD984}</x14:id>
        </ext>
      </extLst>
    </cfRule>
  </conditionalFormatting>
  <pageMargins left="0.57999999999999996" right="0.23622047244094491" top="0.74803149606299213" bottom="0.74803149606299213" header="0.31496062992125984" footer="0.31496062992125984"/>
  <pageSetup paperSize="9" scale="61" fitToHeight="0" orientation="portrait" r:id="rId1"/>
  <headerFooter>
    <oddFooter>Page 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6C67DE-E524-4E91-837E-CCCCF85BD98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H7:H64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9AF1-3716-453D-9E31-38DF1C4103F9}">
  <dimension ref="B1:N39"/>
  <sheetViews>
    <sheetView view="pageBreakPreview" zoomScale="85" zoomScaleNormal="100" zoomScaleSheetLayoutView="85" workbookViewId="0">
      <selection activeCell="D7" sqref="D7:D12"/>
    </sheetView>
  </sheetViews>
  <sheetFormatPr defaultRowHeight="14.4" x14ac:dyDescent="0.3"/>
  <cols>
    <col min="2" max="2" width="13.5546875" style="1" bestFit="1" customWidth="1"/>
    <col min="3" max="3" width="18.33203125" bestFit="1" customWidth="1"/>
    <col min="4" max="4" width="16.44140625" customWidth="1"/>
    <col min="5" max="5" width="18.6640625" customWidth="1"/>
    <col min="6" max="7" width="14.6640625" style="9" customWidth="1"/>
    <col min="8" max="8" width="15.88671875" style="9" customWidth="1"/>
    <col min="9" max="9" width="9.6640625" style="9" customWidth="1"/>
    <col min="10" max="10" width="9.88671875" style="9" bestFit="1" customWidth="1"/>
    <col min="12" max="12" width="14.88671875" bestFit="1" customWidth="1"/>
    <col min="13" max="13" width="29.6640625" style="35" bestFit="1" customWidth="1"/>
    <col min="14" max="14" width="14.33203125" style="9" bestFit="1" customWidth="1"/>
  </cols>
  <sheetData>
    <row r="1" spans="2:14" ht="15" thickBot="1" x14ac:dyDescent="0.35"/>
    <row r="2" spans="2:14" ht="14.4" customHeight="1" x14ac:dyDescent="0.3">
      <c r="B2" s="5" t="s">
        <v>0</v>
      </c>
      <c r="C2" s="4" t="s">
        <v>1</v>
      </c>
      <c r="H2" s="76" t="s">
        <v>55</v>
      </c>
      <c r="I2" s="77"/>
      <c r="J2" s="78"/>
    </row>
    <row r="3" spans="2:14" ht="14.4" customHeight="1" x14ac:dyDescent="0.3">
      <c r="B3" s="5" t="s">
        <v>3</v>
      </c>
      <c r="C3" s="4" t="s">
        <v>4</v>
      </c>
      <c r="H3" s="79"/>
      <c r="I3" s="80"/>
      <c r="J3" s="81"/>
    </row>
    <row r="4" spans="2:14" ht="15" customHeight="1" thickBot="1" x14ac:dyDescent="0.35">
      <c r="B4" s="5" t="s">
        <v>5</v>
      </c>
      <c r="C4" s="29">
        <v>46026</v>
      </c>
      <c r="H4" s="82"/>
      <c r="I4" s="83"/>
      <c r="J4" s="84"/>
    </row>
    <row r="6" spans="2:14" x14ac:dyDescent="0.3">
      <c r="B6" s="5" t="s">
        <v>6</v>
      </c>
      <c r="C6" s="2" t="s">
        <v>40</v>
      </c>
      <c r="D6" s="2" t="s">
        <v>41</v>
      </c>
      <c r="E6" s="2" t="s">
        <v>42</v>
      </c>
      <c r="F6" s="10" t="s">
        <v>9</v>
      </c>
      <c r="G6" s="10" t="s">
        <v>56</v>
      </c>
      <c r="H6" s="10" t="s">
        <v>57</v>
      </c>
      <c r="I6" s="15" t="s">
        <v>43</v>
      </c>
      <c r="J6" s="15" t="s">
        <v>44</v>
      </c>
      <c r="L6" s="3" t="s">
        <v>6</v>
      </c>
      <c r="M6" s="53"/>
      <c r="N6" s="15" t="s">
        <v>58</v>
      </c>
    </row>
    <row r="7" spans="2:14" x14ac:dyDescent="0.3">
      <c r="B7" s="14" t="s">
        <v>49</v>
      </c>
      <c r="C7" s="4" t="s">
        <v>59</v>
      </c>
      <c r="D7" s="4" t="s">
        <v>60</v>
      </c>
      <c r="E7" s="23">
        <v>46003</v>
      </c>
      <c r="F7" s="8">
        <v>35000</v>
      </c>
      <c r="G7" s="8">
        <v>0</v>
      </c>
      <c r="H7" s="8">
        <v>0</v>
      </c>
      <c r="I7" s="22">
        <v>46005</v>
      </c>
      <c r="J7" s="22">
        <v>46011</v>
      </c>
      <c r="L7" s="14" t="str">
        <f>'Code-Categories'!B3</f>
        <v>CIV</v>
      </c>
      <c r="M7" s="37" t="str">
        <f>'Code-Categories'!C3</f>
        <v>Civil Works</v>
      </c>
      <c r="N7" s="16">
        <f t="shared" ref="N7:N20" si="0">SUMIF($B$7:$B$38,L7,$F$7:$F$38)</f>
        <v>10107425.949999999</v>
      </c>
    </row>
    <row r="8" spans="2:14" x14ac:dyDescent="0.3">
      <c r="B8" s="14" t="s">
        <v>61</v>
      </c>
      <c r="C8" s="4" t="s">
        <v>62</v>
      </c>
      <c r="D8" s="4" t="s">
        <v>63</v>
      </c>
      <c r="E8" s="23">
        <v>46014</v>
      </c>
      <c r="F8" s="8">
        <v>13530</v>
      </c>
      <c r="G8" s="8">
        <v>0</v>
      </c>
      <c r="H8" s="8">
        <v>0</v>
      </c>
      <c r="I8" s="22">
        <v>46014</v>
      </c>
      <c r="J8" s="22">
        <v>46019</v>
      </c>
      <c r="L8" s="14" t="str">
        <f>'Code-Categories'!B4</f>
        <v>PLB</v>
      </c>
      <c r="M8" s="37" t="str">
        <f>'Code-Categories'!C4</f>
        <v>Plumbing Works</v>
      </c>
      <c r="N8" s="16">
        <f t="shared" si="0"/>
        <v>0</v>
      </c>
    </row>
    <row r="9" spans="2:14" x14ac:dyDescent="0.3">
      <c r="B9" s="6" t="s">
        <v>49</v>
      </c>
      <c r="C9" s="4" t="s">
        <v>50</v>
      </c>
      <c r="D9" s="4" t="s">
        <v>51</v>
      </c>
      <c r="E9" s="23">
        <v>46060</v>
      </c>
      <c r="F9" s="8">
        <v>10072425.949999999</v>
      </c>
      <c r="G9" s="8">
        <f>F9*18%</f>
        <v>1813036.6709999999</v>
      </c>
      <c r="H9" s="8">
        <f>F9*5%</f>
        <v>503621.29749999999</v>
      </c>
      <c r="I9" s="22">
        <v>46070</v>
      </c>
      <c r="J9" s="22">
        <v>46371</v>
      </c>
      <c r="L9" s="14" t="str">
        <f>'Code-Categories'!B5</f>
        <v>ELC</v>
      </c>
      <c r="M9" s="37" t="str">
        <f>'Code-Categories'!C5</f>
        <v>Electrical Works</v>
      </c>
      <c r="N9" s="16">
        <f t="shared" si="0"/>
        <v>13530</v>
      </c>
    </row>
    <row r="10" spans="2:14" x14ac:dyDescent="0.3">
      <c r="B10" s="14" t="s">
        <v>52</v>
      </c>
      <c r="C10" s="4" t="s">
        <v>53</v>
      </c>
      <c r="D10" s="4" t="s">
        <v>54</v>
      </c>
      <c r="E10" s="23">
        <v>46082</v>
      </c>
      <c r="F10" s="8">
        <v>14000</v>
      </c>
      <c r="G10" s="8">
        <f>F10*18%</f>
        <v>2520</v>
      </c>
      <c r="H10" s="8">
        <v>0</v>
      </c>
      <c r="I10" s="22">
        <v>46071</v>
      </c>
      <c r="J10" s="22">
        <v>46071</v>
      </c>
      <c r="L10" s="14" t="str">
        <f>'Code-Categories'!B6</f>
        <v>DWG</v>
      </c>
      <c r="M10" s="37" t="str">
        <f>'Code-Categories'!C6</f>
        <v>Doors, Windows &amp; Glazing</v>
      </c>
      <c r="N10" s="16">
        <f t="shared" si="0"/>
        <v>0</v>
      </c>
    </row>
    <row r="11" spans="2:14" x14ac:dyDescent="0.3">
      <c r="B11" s="14"/>
      <c r="C11" s="4"/>
      <c r="D11" s="4"/>
      <c r="E11" s="4"/>
      <c r="F11" s="8"/>
      <c r="G11" s="8"/>
      <c r="H11" s="8"/>
      <c r="I11" s="8"/>
      <c r="J11" s="8"/>
      <c r="L11" s="14" t="str">
        <f>'Code-Categories'!B7</f>
        <v>SWP</v>
      </c>
      <c r="M11" s="37" t="str">
        <f>'Code-Categories'!C7</f>
        <v>Swimming Pool Works</v>
      </c>
      <c r="N11" s="16">
        <f t="shared" si="0"/>
        <v>0</v>
      </c>
    </row>
    <row r="12" spans="2:14" x14ac:dyDescent="0.3">
      <c r="B12" s="14"/>
      <c r="C12" s="4"/>
      <c r="D12" s="4"/>
      <c r="E12" s="4"/>
      <c r="F12" s="8"/>
      <c r="G12" s="8"/>
      <c r="H12" s="8"/>
      <c r="I12" s="8"/>
      <c r="J12" s="8"/>
      <c r="L12" s="14" t="str">
        <f>'Code-Categories'!B8</f>
        <v>HVC</v>
      </c>
      <c r="M12" s="37" t="str">
        <f>'Code-Categories'!C8</f>
        <v>HVAC / Air Conditioning</v>
      </c>
      <c r="N12" s="16">
        <f t="shared" si="0"/>
        <v>0</v>
      </c>
    </row>
    <row r="13" spans="2:14" x14ac:dyDescent="0.3">
      <c r="B13" s="14"/>
      <c r="C13" s="4"/>
      <c r="D13" s="4"/>
      <c r="E13" s="4"/>
      <c r="F13" s="8"/>
      <c r="G13" s="8"/>
      <c r="H13" s="8"/>
      <c r="I13" s="8"/>
      <c r="J13" s="8"/>
      <c r="L13" s="14" t="str">
        <f>'Code-Categories'!B9</f>
        <v>FIN</v>
      </c>
      <c r="M13" s="37" t="str">
        <f>'Code-Categories'!C9</f>
        <v>Finishing Works</v>
      </c>
      <c r="N13" s="16">
        <f t="shared" si="0"/>
        <v>0</v>
      </c>
    </row>
    <row r="14" spans="2:14" x14ac:dyDescent="0.3">
      <c r="B14" s="14"/>
      <c r="C14" s="4"/>
      <c r="D14" s="4"/>
      <c r="E14" s="4"/>
      <c r="F14" s="8"/>
      <c r="G14" s="8"/>
      <c r="H14" s="8"/>
      <c r="I14" s="8"/>
      <c r="J14" s="8"/>
      <c r="L14" s="14" t="str">
        <f>'Code-Categories'!B10</f>
        <v>LAN</v>
      </c>
      <c r="M14" s="37" t="str">
        <f>'Code-Categories'!C10</f>
        <v>Landscapping &amp; External Works</v>
      </c>
      <c r="N14" s="16">
        <f t="shared" si="0"/>
        <v>0</v>
      </c>
    </row>
    <row r="15" spans="2:14" x14ac:dyDescent="0.3">
      <c r="B15" s="14"/>
      <c r="C15" s="4"/>
      <c r="D15" s="4"/>
      <c r="E15" s="4"/>
      <c r="F15" s="8"/>
      <c r="G15" s="8"/>
      <c r="H15" s="8"/>
      <c r="I15" s="8"/>
      <c r="J15" s="8"/>
      <c r="L15" s="14" t="str">
        <f>'Code-Categories'!B11</f>
        <v>FAB</v>
      </c>
      <c r="M15" s="37" t="str">
        <f>'Code-Categories'!C11</f>
        <v>Metal &amp; Steel Fabrication</v>
      </c>
      <c r="N15" s="16">
        <f t="shared" si="0"/>
        <v>0</v>
      </c>
    </row>
    <row r="16" spans="2:14" x14ac:dyDescent="0.3">
      <c r="B16" s="14"/>
      <c r="C16" s="4"/>
      <c r="D16" s="4"/>
      <c r="E16" s="4"/>
      <c r="F16" s="8"/>
      <c r="G16" s="8"/>
      <c r="H16" s="8"/>
      <c r="I16" s="8"/>
      <c r="J16" s="8"/>
      <c r="L16" s="14" t="str">
        <f>'Code-Categories'!B12</f>
        <v>CSA</v>
      </c>
      <c r="M16" s="37" t="str">
        <f>'Code-Categories'!C12</f>
        <v>Client Supplied Assets</v>
      </c>
      <c r="N16" s="16">
        <f t="shared" si="0"/>
        <v>0</v>
      </c>
    </row>
    <row r="17" spans="2:14" x14ac:dyDescent="0.3">
      <c r="B17" s="14"/>
      <c r="C17" s="4"/>
      <c r="D17" s="4"/>
      <c r="E17" s="4"/>
      <c r="F17" s="8"/>
      <c r="G17" s="8"/>
      <c r="H17" s="8"/>
      <c r="I17" s="8"/>
      <c r="J17" s="8"/>
      <c r="L17" s="14" t="str">
        <f>'Code-Categories'!B13</f>
        <v>PRF</v>
      </c>
      <c r="M17" s="37" t="str">
        <f>'Code-Categories'!C13</f>
        <v>Professional Fees</v>
      </c>
      <c r="N17" s="16">
        <f t="shared" si="0"/>
        <v>14000</v>
      </c>
    </row>
    <row r="18" spans="2:14" x14ac:dyDescent="0.3">
      <c r="B18" s="14"/>
      <c r="C18" s="4"/>
      <c r="D18" s="4"/>
      <c r="E18" s="4"/>
      <c r="F18" s="8"/>
      <c r="G18" s="8"/>
      <c r="H18" s="8"/>
      <c r="I18" s="8"/>
      <c r="J18" s="8"/>
      <c r="L18" s="14" t="str">
        <f>'Code-Categories'!B14</f>
        <v>STC</v>
      </c>
      <c r="M18" s="37" t="str">
        <f>'Code-Categories'!C14</f>
        <v>Approvals &amp; Statutory Charges</v>
      </c>
      <c r="N18" s="16">
        <f t="shared" si="0"/>
        <v>0</v>
      </c>
    </row>
    <row r="19" spans="2:14" x14ac:dyDescent="0.3">
      <c r="B19" s="14"/>
      <c r="C19" s="4"/>
      <c r="D19" s="4"/>
      <c r="E19" s="4"/>
      <c r="F19" s="8"/>
      <c r="G19" s="8"/>
      <c r="H19" s="8"/>
      <c r="I19" s="8"/>
      <c r="J19" s="8"/>
      <c r="L19" s="14" t="str">
        <f>'Code-Categories'!B15</f>
        <v>PTC</v>
      </c>
      <c r="M19" s="37" t="str">
        <f>'Code-Categories'!C15</f>
        <v>Petty Cash / Running Expenses</v>
      </c>
      <c r="N19" s="16">
        <f t="shared" si="0"/>
        <v>0</v>
      </c>
    </row>
    <row r="20" spans="2:14" x14ac:dyDescent="0.3">
      <c r="B20" s="14"/>
      <c r="C20" s="4"/>
      <c r="D20" s="4"/>
      <c r="E20" s="4"/>
      <c r="F20" s="8"/>
      <c r="G20" s="8"/>
      <c r="H20" s="8"/>
      <c r="I20" s="8"/>
      <c r="J20" s="8"/>
      <c r="L20" s="14" t="str">
        <f>'Code-Categories'!B16</f>
        <v>CON</v>
      </c>
      <c r="M20" s="37" t="str">
        <f>'Code-Categories'!C16</f>
        <v>Contingency</v>
      </c>
      <c r="N20" s="16">
        <f t="shared" si="0"/>
        <v>0</v>
      </c>
    </row>
    <row r="21" spans="2:14" x14ac:dyDescent="0.3">
      <c r="B21" s="6"/>
      <c r="C21" s="4"/>
      <c r="D21" s="4"/>
      <c r="E21" s="4"/>
      <c r="F21" s="8"/>
      <c r="G21" s="8"/>
      <c r="H21" s="8"/>
      <c r="I21" s="8"/>
      <c r="J21" s="8"/>
    </row>
    <row r="22" spans="2:14" x14ac:dyDescent="0.3">
      <c r="B22" s="6"/>
      <c r="C22" s="4"/>
      <c r="D22" s="4"/>
      <c r="E22" s="4"/>
      <c r="F22" s="8"/>
      <c r="G22" s="8"/>
      <c r="H22" s="8"/>
      <c r="I22" s="8"/>
      <c r="J22" s="8"/>
    </row>
    <row r="23" spans="2:14" x14ac:dyDescent="0.3">
      <c r="B23" s="6"/>
      <c r="C23" s="4"/>
      <c r="D23" s="4"/>
      <c r="E23" s="4"/>
      <c r="F23" s="8"/>
      <c r="G23" s="8"/>
      <c r="H23" s="8"/>
      <c r="I23" s="8"/>
      <c r="J23" s="8"/>
    </row>
    <row r="24" spans="2:14" x14ac:dyDescent="0.3">
      <c r="B24" s="6"/>
      <c r="C24" s="4"/>
      <c r="D24" s="4"/>
      <c r="E24" s="4"/>
      <c r="F24" s="8"/>
      <c r="G24" s="8"/>
      <c r="H24" s="8"/>
      <c r="I24" s="8"/>
      <c r="J24" s="8"/>
    </row>
    <row r="25" spans="2:14" x14ac:dyDescent="0.3">
      <c r="B25" s="6"/>
      <c r="C25" s="4"/>
      <c r="D25" s="4"/>
      <c r="E25" s="4"/>
      <c r="F25" s="8"/>
      <c r="G25" s="8"/>
      <c r="H25" s="8"/>
      <c r="I25" s="8"/>
      <c r="J25" s="8"/>
    </row>
    <row r="26" spans="2:14" x14ac:dyDescent="0.3">
      <c r="B26" s="6"/>
      <c r="C26" s="4"/>
      <c r="D26" s="4"/>
      <c r="E26" s="4"/>
      <c r="F26" s="8"/>
      <c r="G26" s="8"/>
      <c r="H26" s="8"/>
      <c r="I26" s="8"/>
      <c r="J26" s="8"/>
    </row>
    <row r="27" spans="2:14" x14ac:dyDescent="0.3">
      <c r="B27" s="6"/>
      <c r="C27" s="4"/>
      <c r="D27" s="4"/>
      <c r="E27" s="4"/>
      <c r="F27" s="8"/>
      <c r="G27" s="8"/>
      <c r="H27" s="8"/>
      <c r="I27" s="8"/>
      <c r="J27" s="8"/>
    </row>
    <row r="28" spans="2:14" x14ac:dyDescent="0.3">
      <c r="B28" s="6"/>
      <c r="C28" s="4"/>
      <c r="D28" s="4"/>
      <c r="E28" s="4"/>
      <c r="F28" s="8"/>
      <c r="G28" s="8"/>
      <c r="H28" s="8"/>
      <c r="I28" s="8"/>
      <c r="J28" s="8"/>
    </row>
    <row r="29" spans="2:14" x14ac:dyDescent="0.3">
      <c r="B29" s="6"/>
      <c r="C29" s="4"/>
      <c r="D29" s="4"/>
      <c r="E29" s="4"/>
      <c r="F29" s="8"/>
      <c r="G29" s="8"/>
      <c r="H29" s="8"/>
      <c r="I29" s="8"/>
      <c r="J29" s="8"/>
    </row>
    <row r="30" spans="2:14" x14ac:dyDescent="0.3">
      <c r="B30" s="6"/>
      <c r="C30" s="4"/>
      <c r="D30" s="4"/>
      <c r="E30" s="4"/>
      <c r="F30" s="8"/>
      <c r="G30" s="8"/>
      <c r="H30" s="8"/>
      <c r="I30" s="8"/>
      <c r="J30" s="8"/>
    </row>
    <row r="31" spans="2:14" x14ac:dyDescent="0.3">
      <c r="B31" s="6"/>
      <c r="C31" s="4"/>
      <c r="D31" s="4"/>
      <c r="E31" s="4"/>
      <c r="F31" s="8"/>
      <c r="G31" s="8"/>
      <c r="H31" s="8"/>
      <c r="I31" s="8"/>
      <c r="J31" s="8"/>
    </row>
    <row r="32" spans="2:14" x14ac:dyDescent="0.3">
      <c r="B32" s="6"/>
      <c r="C32" s="4"/>
      <c r="D32" s="4"/>
      <c r="E32" s="4"/>
      <c r="F32" s="8"/>
      <c r="G32" s="8"/>
      <c r="H32" s="8"/>
      <c r="I32" s="8"/>
      <c r="J32" s="8"/>
    </row>
    <row r="33" spans="2:10" x14ac:dyDescent="0.3">
      <c r="B33" s="6"/>
      <c r="C33" s="4"/>
      <c r="D33" s="4"/>
      <c r="E33" s="4"/>
      <c r="F33" s="8"/>
      <c r="G33" s="8"/>
      <c r="H33" s="8"/>
      <c r="I33" s="8"/>
      <c r="J33" s="8"/>
    </row>
    <row r="34" spans="2:10" x14ac:dyDescent="0.3">
      <c r="B34" s="6"/>
      <c r="C34" s="4"/>
      <c r="D34" s="4"/>
      <c r="E34" s="4"/>
      <c r="F34" s="8"/>
      <c r="G34" s="8"/>
      <c r="H34" s="8"/>
      <c r="I34" s="8"/>
      <c r="J34" s="8"/>
    </row>
    <row r="35" spans="2:10" x14ac:dyDescent="0.3">
      <c r="B35" s="6"/>
      <c r="C35" s="4"/>
      <c r="D35" s="4"/>
      <c r="E35" s="4"/>
      <c r="F35" s="8"/>
      <c r="G35" s="8"/>
      <c r="H35" s="8"/>
      <c r="I35" s="8"/>
      <c r="J35" s="8"/>
    </row>
    <row r="36" spans="2:10" x14ac:dyDescent="0.3">
      <c r="B36" s="6"/>
      <c r="C36" s="4"/>
      <c r="D36" s="4"/>
      <c r="E36" s="4"/>
      <c r="F36" s="8"/>
      <c r="G36" s="8"/>
      <c r="H36" s="8"/>
      <c r="I36" s="8"/>
      <c r="J36" s="8"/>
    </row>
    <row r="37" spans="2:10" x14ac:dyDescent="0.3">
      <c r="B37" s="6"/>
      <c r="C37" s="4"/>
      <c r="D37" s="4"/>
      <c r="E37" s="4"/>
      <c r="F37" s="8"/>
      <c r="G37" s="8"/>
      <c r="H37" s="8"/>
      <c r="I37" s="8"/>
      <c r="J37" s="8"/>
    </row>
    <row r="38" spans="2:10" x14ac:dyDescent="0.3">
      <c r="B38" s="6"/>
      <c r="C38" s="4"/>
      <c r="D38" s="4"/>
      <c r="E38" s="4"/>
      <c r="F38" s="8"/>
      <c r="G38" s="8"/>
      <c r="H38" s="8"/>
      <c r="I38" s="8"/>
      <c r="J38" s="8"/>
    </row>
    <row r="39" spans="2:10" x14ac:dyDescent="0.3">
      <c r="B39" s="75" t="s">
        <v>64</v>
      </c>
      <c r="C39" s="75"/>
      <c r="D39" s="75"/>
      <c r="E39" s="75"/>
      <c r="F39" s="10">
        <f>SUM(F7:F38)</f>
        <v>10134955.949999999</v>
      </c>
      <c r="G39" s="10"/>
      <c r="H39" s="10">
        <f>SUM(H7:H38)</f>
        <v>503621.29749999999</v>
      </c>
      <c r="I39" s="18"/>
      <c r="J39" s="18"/>
    </row>
  </sheetData>
  <mergeCells count="2">
    <mergeCell ref="B39:E39"/>
    <mergeCell ref="H2:J4"/>
  </mergeCells>
  <phoneticPr fontId="4" type="noConversion"/>
  <pageMargins left="0.23622047244094491" right="0.23622047244094491" top="0.74803149606299213" bottom="0.74803149606299213" header="0.31496062992125984" footer="0.31496062992125984"/>
  <pageSetup paperSize="9" scale="75" fitToHeight="0" orientation="portrait" r:id="rId1"/>
  <headerFoot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309E2-23E9-4FA5-A02D-90EECBCD8E1E}">
  <sheetPr>
    <pageSetUpPr fitToPage="1"/>
  </sheetPr>
  <dimension ref="B1:L54"/>
  <sheetViews>
    <sheetView view="pageBreakPreview" zoomScaleNormal="100" zoomScaleSheetLayoutView="100" workbookViewId="0">
      <selection activeCell="I24" sqref="I24"/>
    </sheetView>
  </sheetViews>
  <sheetFormatPr defaultRowHeight="14.4" x14ac:dyDescent="0.3"/>
  <cols>
    <col min="2" max="2" width="13.5546875" bestFit="1" customWidth="1"/>
    <col min="3" max="3" width="25.33203125" customWidth="1"/>
    <col min="4" max="4" width="16.33203125" style="9" customWidth="1"/>
    <col min="5" max="5" width="11.44140625" style="9" bestFit="1" customWidth="1"/>
    <col min="6" max="6" width="12.5546875" style="9" customWidth="1"/>
    <col min="7" max="7" width="21.6640625" customWidth="1"/>
    <col min="8" max="8" width="15.44140625" customWidth="1"/>
    <col min="11" max="11" width="29.6640625" bestFit="1" customWidth="1"/>
    <col min="12" max="12" width="12.5546875" style="9" bestFit="1" customWidth="1"/>
  </cols>
  <sheetData>
    <row r="1" spans="2:12" ht="15" thickBot="1" x14ac:dyDescent="0.35"/>
    <row r="2" spans="2:12" ht="14.4" customHeight="1" x14ac:dyDescent="0.3">
      <c r="B2" s="12" t="s">
        <v>0</v>
      </c>
      <c r="C2" s="4" t="s">
        <v>1</v>
      </c>
      <c r="D2"/>
      <c r="E2"/>
      <c r="G2" s="62" t="s">
        <v>65</v>
      </c>
      <c r="H2" s="63"/>
    </row>
    <row r="3" spans="2:12" ht="14.4" customHeight="1" x14ac:dyDescent="0.3">
      <c r="B3" s="12" t="s">
        <v>3</v>
      </c>
      <c r="C3" s="4" t="s">
        <v>4</v>
      </c>
      <c r="D3"/>
      <c r="E3"/>
      <c r="G3" s="64"/>
      <c r="H3" s="65"/>
    </row>
    <row r="4" spans="2:12" ht="15" customHeight="1" thickBot="1" x14ac:dyDescent="0.35">
      <c r="B4" s="12" t="s">
        <v>5</v>
      </c>
      <c r="C4" s="29">
        <f>'03-Work Order Tracker'!C4</f>
        <v>46026</v>
      </c>
      <c r="D4"/>
      <c r="E4"/>
      <c r="G4" s="66"/>
      <c r="H4" s="67"/>
    </row>
    <row r="6" spans="2:12" x14ac:dyDescent="0.3">
      <c r="B6" s="5" t="s">
        <v>6</v>
      </c>
      <c r="C6" s="2" t="s">
        <v>40</v>
      </c>
      <c r="D6" s="2" t="s">
        <v>66</v>
      </c>
      <c r="E6" s="2" t="s">
        <v>67</v>
      </c>
      <c r="F6" s="10" t="s">
        <v>68</v>
      </c>
      <c r="G6" s="10" t="s">
        <v>11</v>
      </c>
      <c r="H6" s="2" t="s">
        <v>69</v>
      </c>
      <c r="J6" s="3" t="s">
        <v>6</v>
      </c>
      <c r="K6" s="3"/>
      <c r="L6" s="15" t="s">
        <v>58</v>
      </c>
    </row>
    <row r="7" spans="2:12" x14ac:dyDescent="0.3">
      <c r="B7" s="14" t="str">
        <f>'03-Work Order Tracker'!B7</f>
        <v>CIV</v>
      </c>
      <c r="C7" s="14" t="str">
        <f>'03-Work Order Tracker'!C7</f>
        <v>SS Construction</v>
      </c>
      <c r="D7" s="4" t="s">
        <v>70</v>
      </c>
      <c r="E7" s="23">
        <v>46026</v>
      </c>
      <c r="F7" s="8">
        <v>35000</v>
      </c>
      <c r="G7" s="8">
        <v>35000</v>
      </c>
      <c r="H7" s="23">
        <v>46021</v>
      </c>
      <c r="J7" s="14" t="str">
        <f>'Code-Categories'!B3</f>
        <v>CIV</v>
      </c>
      <c r="K7" s="37" t="str">
        <f>'Code-Categories'!C3</f>
        <v>Civil Works</v>
      </c>
      <c r="L7" s="16">
        <f t="shared" ref="L7:L20" si="0">SUMIF($B$7:$B$53,J7,$F$7:$F$53)</f>
        <v>1535000</v>
      </c>
    </row>
    <row r="8" spans="2:12" x14ac:dyDescent="0.3">
      <c r="B8" s="14" t="str">
        <f>'03-Work Order Tracker'!B8</f>
        <v>ELC</v>
      </c>
      <c r="C8" s="14" t="str">
        <f>'03-Work Order Tracker'!C8</f>
        <v>Suraj Electrician</v>
      </c>
      <c r="D8" s="4" t="s">
        <v>71</v>
      </c>
      <c r="E8" s="23">
        <v>46019</v>
      </c>
      <c r="F8" s="8">
        <v>13530</v>
      </c>
      <c r="G8" s="8">
        <f>F8</f>
        <v>13530</v>
      </c>
      <c r="H8" s="23">
        <f>H7</f>
        <v>46021</v>
      </c>
      <c r="J8" s="14" t="str">
        <f>'Code-Categories'!B4</f>
        <v>PLB</v>
      </c>
      <c r="K8" s="37" t="str">
        <f>'Code-Categories'!C4</f>
        <v>Plumbing Works</v>
      </c>
      <c r="L8" s="16">
        <f t="shared" si="0"/>
        <v>0</v>
      </c>
    </row>
    <row r="9" spans="2:12" x14ac:dyDescent="0.3">
      <c r="B9" s="14" t="s">
        <v>52</v>
      </c>
      <c r="C9" t="s">
        <v>72</v>
      </c>
      <c r="D9" s="4" t="s">
        <v>73</v>
      </c>
      <c r="E9" s="23">
        <v>46019</v>
      </c>
      <c r="F9" s="8">
        <v>140000</v>
      </c>
      <c r="G9" s="8">
        <v>140000</v>
      </c>
      <c r="H9" s="4"/>
      <c r="J9" s="14" t="str">
        <f>'Code-Categories'!B5</f>
        <v>ELC</v>
      </c>
      <c r="K9" s="37" t="str">
        <f>'Code-Categories'!C5</f>
        <v>Electrical Works</v>
      </c>
      <c r="L9" s="16">
        <f t="shared" si="0"/>
        <v>13530</v>
      </c>
    </row>
    <row r="10" spans="2:12" x14ac:dyDescent="0.3">
      <c r="B10" s="14" t="s">
        <v>52</v>
      </c>
      <c r="C10" s="4" t="s">
        <v>53</v>
      </c>
      <c r="D10" s="4" t="s">
        <v>74</v>
      </c>
      <c r="E10" s="23">
        <v>46082</v>
      </c>
      <c r="F10" s="8">
        <v>16520</v>
      </c>
      <c r="G10" s="8"/>
      <c r="H10" s="4"/>
      <c r="J10" s="14" t="str">
        <f>'Code-Categories'!B6</f>
        <v>DWG</v>
      </c>
      <c r="K10" s="37" t="str">
        <f>'Code-Categories'!C6</f>
        <v>Doors, Windows &amp; Glazing</v>
      </c>
      <c r="L10" s="16">
        <f t="shared" si="0"/>
        <v>0</v>
      </c>
    </row>
    <row r="11" spans="2:12" x14ac:dyDescent="0.3">
      <c r="B11" s="6" t="s">
        <v>49</v>
      </c>
      <c r="C11" s="4" t="s">
        <v>50</v>
      </c>
      <c r="D11" s="4" t="s">
        <v>75</v>
      </c>
      <c r="E11" s="23">
        <v>46082</v>
      </c>
      <c r="F11" s="8">
        <v>1500000</v>
      </c>
      <c r="G11" s="8"/>
      <c r="H11" s="4"/>
      <c r="J11" s="14" t="str">
        <f>'Code-Categories'!B7</f>
        <v>SWP</v>
      </c>
      <c r="K11" s="37" t="str">
        <f>'Code-Categories'!C7</f>
        <v>Swimming Pool Works</v>
      </c>
      <c r="L11" s="16">
        <f t="shared" si="0"/>
        <v>0</v>
      </c>
    </row>
    <row r="12" spans="2:12" x14ac:dyDescent="0.3">
      <c r="B12" s="14" t="s">
        <v>52</v>
      </c>
      <c r="C12" t="s">
        <v>72</v>
      </c>
      <c r="D12" s="4" t="s">
        <v>76</v>
      </c>
      <c r="E12" s="23">
        <v>46090</v>
      </c>
      <c r="F12" s="8">
        <v>140000</v>
      </c>
      <c r="G12" s="8"/>
      <c r="H12" s="4"/>
      <c r="J12" s="14" t="str">
        <f>'Code-Categories'!B8</f>
        <v>HVC</v>
      </c>
      <c r="K12" s="37" t="str">
        <f>'Code-Categories'!C8</f>
        <v>HVAC / Air Conditioning</v>
      </c>
      <c r="L12" s="16">
        <f t="shared" si="0"/>
        <v>0</v>
      </c>
    </row>
    <row r="13" spans="2:12" x14ac:dyDescent="0.3">
      <c r="B13" s="14"/>
      <c r="C13" s="14"/>
      <c r="D13" s="4"/>
      <c r="E13" s="4"/>
      <c r="F13" s="8"/>
      <c r="G13" s="8"/>
      <c r="H13" s="4"/>
      <c r="J13" s="14" t="str">
        <f>'Code-Categories'!B9</f>
        <v>FIN</v>
      </c>
      <c r="K13" s="37" t="str">
        <f>'Code-Categories'!C9</f>
        <v>Finishing Works</v>
      </c>
      <c r="L13" s="16">
        <f t="shared" si="0"/>
        <v>0</v>
      </c>
    </row>
    <row r="14" spans="2:12" x14ac:dyDescent="0.3">
      <c r="B14" s="14"/>
      <c r="C14" s="14"/>
      <c r="D14" s="4"/>
      <c r="E14" s="4"/>
      <c r="F14" s="8"/>
      <c r="G14" s="8"/>
      <c r="H14" s="4"/>
      <c r="J14" s="14" t="str">
        <f>'Code-Categories'!B10</f>
        <v>LAN</v>
      </c>
      <c r="K14" s="37" t="str">
        <f>'Code-Categories'!C10</f>
        <v>Landscapping &amp; External Works</v>
      </c>
      <c r="L14" s="16">
        <f t="shared" si="0"/>
        <v>0</v>
      </c>
    </row>
    <row r="15" spans="2:12" x14ac:dyDescent="0.3">
      <c r="B15" s="14"/>
      <c r="C15" s="14"/>
      <c r="D15" s="4"/>
      <c r="E15" s="4"/>
      <c r="F15" s="8"/>
      <c r="G15" s="8"/>
      <c r="H15" s="4"/>
      <c r="J15" s="14" t="str">
        <f>'Code-Categories'!B11</f>
        <v>FAB</v>
      </c>
      <c r="K15" s="37" t="str">
        <f>'Code-Categories'!C11</f>
        <v>Metal &amp; Steel Fabrication</v>
      </c>
      <c r="L15" s="16">
        <f t="shared" si="0"/>
        <v>0</v>
      </c>
    </row>
    <row r="16" spans="2:12" x14ac:dyDescent="0.3">
      <c r="B16" s="14"/>
      <c r="C16" s="14"/>
      <c r="D16" s="4"/>
      <c r="E16" s="4"/>
      <c r="F16" s="8"/>
      <c r="G16" s="8"/>
      <c r="H16" s="4"/>
      <c r="J16" s="14" t="str">
        <f>'Code-Categories'!B12</f>
        <v>CSA</v>
      </c>
      <c r="K16" s="37" t="str">
        <f>'Code-Categories'!C12</f>
        <v>Client Supplied Assets</v>
      </c>
      <c r="L16" s="16">
        <f t="shared" si="0"/>
        <v>0</v>
      </c>
    </row>
    <row r="17" spans="2:12" x14ac:dyDescent="0.3">
      <c r="B17" s="14"/>
      <c r="C17" s="4"/>
      <c r="D17" s="4"/>
      <c r="E17" s="4"/>
      <c r="F17" s="8"/>
      <c r="G17" s="8"/>
      <c r="H17" s="4"/>
      <c r="J17" s="14" t="str">
        <f>'Code-Categories'!B13</f>
        <v>PRF</v>
      </c>
      <c r="K17" s="37" t="str">
        <f>'Code-Categories'!C13</f>
        <v>Professional Fees</v>
      </c>
      <c r="L17" s="16">
        <f t="shared" si="0"/>
        <v>296520</v>
      </c>
    </row>
    <row r="18" spans="2:12" x14ac:dyDescent="0.3">
      <c r="B18" s="14"/>
      <c r="C18" s="4"/>
      <c r="D18" s="4"/>
      <c r="E18" s="4"/>
      <c r="F18" s="8"/>
      <c r="G18" s="8"/>
      <c r="H18" s="4"/>
      <c r="J18" s="14" t="str">
        <f>'Code-Categories'!B14</f>
        <v>STC</v>
      </c>
      <c r="K18" s="37" t="str">
        <f>'Code-Categories'!C14</f>
        <v>Approvals &amp; Statutory Charges</v>
      </c>
      <c r="L18" s="16">
        <f t="shared" si="0"/>
        <v>0</v>
      </c>
    </row>
    <row r="19" spans="2:12" x14ac:dyDescent="0.3">
      <c r="B19" s="14"/>
      <c r="C19" s="4"/>
      <c r="D19" s="4"/>
      <c r="E19" s="4"/>
      <c r="F19" s="8"/>
      <c r="G19" s="8"/>
      <c r="H19" s="4"/>
      <c r="J19" s="14" t="str">
        <f>'Code-Categories'!B15</f>
        <v>PTC</v>
      </c>
      <c r="K19" s="37" t="str">
        <f>'Code-Categories'!C15</f>
        <v>Petty Cash / Running Expenses</v>
      </c>
      <c r="L19" s="16">
        <f t="shared" si="0"/>
        <v>0</v>
      </c>
    </row>
    <row r="20" spans="2:12" x14ac:dyDescent="0.3">
      <c r="B20" s="14"/>
      <c r="C20" s="4"/>
      <c r="D20" s="4"/>
      <c r="E20" s="4"/>
      <c r="F20" s="8"/>
      <c r="G20" s="8"/>
      <c r="H20" s="4"/>
      <c r="J20" s="14" t="str">
        <f>'Code-Categories'!B16</f>
        <v>CON</v>
      </c>
      <c r="K20" s="37" t="str">
        <f>'Code-Categories'!C16</f>
        <v>Contingency</v>
      </c>
      <c r="L20" s="16">
        <f t="shared" si="0"/>
        <v>0</v>
      </c>
    </row>
    <row r="21" spans="2:12" x14ac:dyDescent="0.3">
      <c r="B21" s="6"/>
      <c r="C21" s="4"/>
      <c r="D21" s="4"/>
      <c r="E21" s="4"/>
      <c r="F21" s="8"/>
      <c r="G21" s="8"/>
      <c r="H21" s="4"/>
    </row>
    <row r="22" spans="2:12" x14ac:dyDescent="0.3">
      <c r="B22" s="6"/>
      <c r="C22" s="4"/>
      <c r="D22" s="4"/>
      <c r="E22" s="4"/>
      <c r="F22" s="8"/>
      <c r="G22" s="8"/>
      <c r="H22" s="4"/>
    </row>
    <row r="23" spans="2:12" x14ac:dyDescent="0.3">
      <c r="B23" s="6"/>
      <c r="C23" s="4"/>
      <c r="D23" s="4"/>
      <c r="E23" s="4"/>
      <c r="F23" s="8"/>
      <c r="G23" s="8"/>
      <c r="H23" s="4"/>
    </row>
    <row r="24" spans="2:12" x14ac:dyDescent="0.3">
      <c r="B24" s="6"/>
      <c r="C24" s="4"/>
      <c r="D24" s="4"/>
      <c r="E24" s="4"/>
      <c r="F24" s="8"/>
      <c r="G24" s="8"/>
      <c r="H24" s="4"/>
    </row>
    <row r="25" spans="2:12" x14ac:dyDescent="0.3">
      <c r="B25" s="6"/>
      <c r="C25" s="4"/>
      <c r="D25" s="4"/>
      <c r="E25" s="4"/>
      <c r="F25" s="8"/>
      <c r="G25" s="8"/>
      <c r="H25" s="4"/>
    </row>
    <row r="26" spans="2:12" x14ac:dyDescent="0.3">
      <c r="B26" s="6"/>
      <c r="C26" s="4"/>
      <c r="D26" s="4"/>
      <c r="E26" s="4"/>
      <c r="F26" s="8"/>
      <c r="G26" s="8"/>
      <c r="H26" s="4"/>
    </row>
    <row r="27" spans="2:12" x14ac:dyDescent="0.3">
      <c r="B27" s="6"/>
      <c r="C27" s="4"/>
      <c r="D27" s="4"/>
      <c r="E27" s="4"/>
      <c r="F27" s="8"/>
      <c r="G27" s="8"/>
      <c r="H27" s="4"/>
    </row>
    <row r="28" spans="2:12" x14ac:dyDescent="0.3">
      <c r="B28" s="6"/>
      <c r="C28" s="4"/>
      <c r="D28" s="4"/>
      <c r="E28" s="4"/>
      <c r="F28" s="8"/>
      <c r="G28" s="8"/>
      <c r="H28" s="4"/>
    </row>
    <row r="29" spans="2:12" x14ac:dyDescent="0.3">
      <c r="B29" s="6"/>
      <c r="C29" s="4"/>
      <c r="D29" s="4"/>
      <c r="E29" s="4"/>
      <c r="F29" s="8"/>
      <c r="G29" s="8"/>
      <c r="H29" s="4"/>
    </row>
    <row r="30" spans="2:12" x14ac:dyDescent="0.3">
      <c r="B30" s="6"/>
      <c r="C30" s="4"/>
      <c r="D30" s="4"/>
      <c r="E30" s="4"/>
      <c r="F30" s="8"/>
      <c r="G30" s="8"/>
      <c r="H30" s="4"/>
    </row>
    <row r="31" spans="2:12" x14ac:dyDescent="0.3">
      <c r="B31" s="6"/>
      <c r="C31" s="4"/>
      <c r="D31" s="4"/>
      <c r="E31" s="4"/>
      <c r="F31" s="8"/>
      <c r="G31" s="8"/>
      <c r="H31" s="4"/>
    </row>
    <row r="32" spans="2:12" x14ac:dyDescent="0.3">
      <c r="B32" s="6"/>
      <c r="C32" s="4"/>
      <c r="D32" s="4"/>
      <c r="E32" s="4"/>
      <c r="F32" s="8"/>
      <c r="G32" s="8"/>
      <c r="H32" s="4"/>
    </row>
    <row r="33" spans="2:8" x14ac:dyDescent="0.3">
      <c r="B33" s="6"/>
      <c r="C33" s="4"/>
      <c r="D33" s="4"/>
      <c r="E33" s="4"/>
      <c r="F33" s="8"/>
      <c r="G33" s="8"/>
      <c r="H33" s="4"/>
    </row>
    <row r="34" spans="2:8" x14ac:dyDescent="0.3">
      <c r="B34" s="6"/>
      <c r="C34" s="4"/>
      <c r="D34" s="4"/>
      <c r="E34" s="4"/>
      <c r="F34" s="8"/>
      <c r="G34" s="8"/>
      <c r="H34" s="4"/>
    </row>
    <row r="35" spans="2:8" x14ac:dyDescent="0.3">
      <c r="B35" s="6"/>
      <c r="C35" s="4"/>
      <c r="D35" s="4"/>
      <c r="E35" s="4"/>
      <c r="F35" s="8"/>
      <c r="G35" s="8"/>
      <c r="H35" s="4"/>
    </row>
    <row r="36" spans="2:8" x14ac:dyDescent="0.3">
      <c r="B36" s="6"/>
      <c r="C36" s="4"/>
      <c r="D36" s="4"/>
      <c r="E36" s="4"/>
      <c r="F36" s="8"/>
      <c r="G36" s="8"/>
      <c r="H36" s="4"/>
    </row>
    <row r="37" spans="2:8" x14ac:dyDescent="0.3">
      <c r="B37" s="6"/>
      <c r="C37" s="4"/>
      <c r="D37" s="4"/>
      <c r="E37" s="4"/>
      <c r="F37" s="8"/>
      <c r="G37" s="8"/>
      <c r="H37" s="4"/>
    </row>
    <row r="38" spans="2:8" x14ac:dyDescent="0.3">
      <c r="B38" s="6"/>
      <c r="C38" s="4"/>
      <c r="D38" s="4"/>
      <c r="E38" s="4"/>
      <c r="F38" s="8"/>
      <c r="G38" s="8"/>
      <c r="H38" s="4"/>
    </row>
    <row r="39" spans="2:8" x14ac:dyDescent="0.3">
      <c r="B39" s="6"/>
      <c r="C39" s="4"/>
      <c r="D39" s="4"/>
      <c r="E39" s="4"/>
      <c r="F39" s="8"/>
      <c r="G39" s="8"/>
      <c r="H39" s="4"/>
    </row>
    <row r="40" spans="2:8" x14ac:dyDescent="0.3">
      <c r="B40" s="6"/>
      <c r="C40" s="4"/>
      <c r="D40" s="4"/>
      <c r="E40" s="4"/>
      <c r="F40" s="8"/>
      <c r="G40" s="8"/>
      <c r="H40" s="4"/>
    </row>
    <row r="41" spans="2:8" x14ac:dyDescent="0.3">
      <c r="B41" s="6"/>
      <c r="C41" s="4"/>
      <c r="D41" s="4"/>
      <c r="E41" s="4"/>
      <c r="F41" s="8"/>
      <c r="G41" s="8"/>
      <c r="H41" s="4"/>
    </row>
    <row r="42" spans="2:8" x14ac:dyDescent="0.3">
      <c r="B42" s="6"/>
      <c r="C42" s="4"/>
      <c r="D42" s="4"/>
      <c r="E42" s="4"/>
      <c r="F42" s="8"/>
      <c r="G42" s="8"/>
      <c r="H42" s="4"/>
    </row>
    <row r="43" spans="2:8" x14ac:dyDescent="0.3">
      <c r="B43" s="6"/>
      <c r="C43" s="4"/>
      <c r="D43" s="4"/>
      <c r="E43" s="4"/>
      <c r="F43" s="8"/>
      <c r="G43" s="8"/>
      <c r="H43" s="4"/>
    </row>
    <row r="44" spans="2:8" x14ac:dyDescent="0.3">
      <c r="B44" s="6"/>
      <c r="C44" s="4"/>
      <c r="D44" s="4"/>
      <c r="E44" s="4"/>
      <c r="F44" s="8"/>
      <c r="G44" s="8"/>
      <c r="H44" s="4"/>
    </row>
    <row r="45" spans="2:8" x14ac:dyDescent="0.3">
      <c r="B45" s="6"/>
      <c r="C45" s="4"/>
      <c r="D45" s="4"/>
      <c r="E45" s="4"/>
      <c r="F45" s="8"/>
      <c r="G45" s="8"/>
      <c r="H45" s="4"/>
    </row>
    <row r="46" spans="2:8" x14ac:dyDescent="0.3">
      <c r="B46" s="6"/>
      <c r="C46" s="4"/>
      <c r="D46" s="4"/>
      <c r="E46" s="4"/>
      <c r="F46" s="8"/>
      <c r="G46" s="8"/>
      <c r="H46" s="4"/>
    </row>
    <row r="47" spans="2:8" x14ac:dyDescent="0.3">
      <c r="B47" s="6"/>
      <c r="C47" s="4"/>
      <c r="D47" s="4"/>
      <c r="E47" s="4"/>
      <c r="F47" s="8"/>
      <c r="G47" s="8"/>
      <c r="H47" s="4"/>
    </row>
    <row r="48" spans="2:8" x14ac:dyDescent="0.3">
      <c r="B48" s="6"/>
      <c r="C48" s="4"/>
      <c r="D48" s="4"/>
      <c r="E48" s="4"/>
      <c r="F48" s="8"/>
      <c r="G48" s="8"/>
      <c r="H48" s="4"/>
    </row>
    <row r="49" spans="2:8" x14ac:dyDescent="0.3">
      <c r="B49" s="6"/>
      <c r="C49" s="4"/>
      <c r="D49" s="4"/>
      <c r="E49" s="4"/>
      <c r="F49" s="8"/>
      <c r="G49" s="8"/>
      <c r="H49" s="4"/>
    </row>
    <row r="50" spans="2:8" x14ac:dyDescent="0.3">
      <c r="B50" s="6"/>
      <c r="C50" s="4"/>
      <c r="D50" s="4"/>
      <c r="E50" s="4"/>
      <c r="F50" s="8"/>
      <c r="G50" s="8"/>
      <c r="H50" s="4"/>
    </row>
    <row r="51" spans="2:8" x14ac:dyDescent="0.3">
      <c r="B51" s="6"/>
      <c r="C51" s="4"/>
      <c r="D51" s="4"/>
      <c r="E51" s="4"/>
      <c r="F51" s="8"/>
      <c r="G51" s="8"/>
      <c r="H51" s="4"/>
    </row>
    <row r="52" spans="2:8" x14ac:dyDescent="0.3">
      <c r="B52" s="6"/>
      <c r="C52" s="4"/>
      <c r="D52" s="4"/>
      <c r="E52" s="4"/>
      <c r="F52" s="8"/>
      <c r="G52" s="8"/>
      <c r="H52" s="4"/>
    </row>
    <row r="53" spans="2:8" x14ac:dyDescent="0.3">
      <c r="B53" s="6"/>
      <c r="C53" s="4"/>
      <c r="D53" s="4"/>
      <c r="E53" s="4"/>
      <c r="F53" s="8"/>
      <c r="G53" s="8"/>
      <c r="H53" s="4"/>
    </row>
    <row r="54" spans="2:8" x14ac:dyDescent="0.3">
      <c r="B54" s="60" t="s">
        <v>64</v>
      </c>
      <c r="C54" s="61"/>
      <c r="D54" s="2"/>
      <c r="E54" s="24"/>
      <c r="F54" s="11"/>
      <c r="G54" s="11">
        <f>SUM(G7:G53)</f>
        <v>188530</v>
      </c>
    </row>
  </sheetData>
  <mergeCells count="2">
    <mergeCell ref="B54:C54"/>
    <mergeCell ref="G2:H4"/>
  </mergeCells>
  <phoneticPr fontId="4" type="noConversion"/>
  <pageMargins left="0.23622047244094491" right="0.23622047244094491" top="0.74803149606299213" bottom="0.74803149606299213" header="0.31496062992125984" footer="0.31496062992125984"/>
  <pageSetup paperSize="9" scale="85" fitToHeight="0" orientation="portrait" r:id="rId1"/>
  <headerFooter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202D7-1A04-48D7-8355-F08A4235DC5B}">
  <dimension ref="B1:H56"/>
  <sheetViews>
    <sheetView view="pageBreakPreview" zoomScaleNormal="100" zoomScaleSheetLayoutView="100" workbookViewId="0">
      <selection activeCell="B11" sqref="B11"/>
    </sheetView>
  </sheetViews>
  <sheetFormatPr defaultRowHeight="14.4" x14ac:dyDescent="0.3"/>
  <cols>
    <col min="2" max="2" width="20.33203125" bestFit="1" customWidth="1"/>
    <col min="3" max="3" width="16.109375" style="9" customWidth="1"/>
    <col min="4" max="4" width="13.88671875" customWidth="1"/>
    <col min="5" max="5" width="32.109375" style="35" customWidth="1"/>
    <col min="6" max="6" width="16.88671875" style="9" customWidth="1"/>
    <col min="7" max="7" width="15.6640625" customWidth="1"/>
    <col min="8" max="8" width="19.88671875" style="9" customWidth="1"/>
  </cols>
  <sheetData>
    <row r="1" spans="2:8" ht="15" thickBot="1" x14ac:dyDescent="0.35"/>
    <row r="2" spans="2:8" ht="14.4" customHeight="1" x14ac:dyDescent="0.3">
      <c r="B2" s="12" t="s">
        <v>0</v>
      </c>
      <c r="C2" s="8" t="s">
        <v>1</v>
      </c>
      <c r="D2" s="9"/>
      <c r="G2" s="62" t="s">
        <v>77</v>
      </c>
      <c r="H2" s="63"/>
    </row>
    <row r="3" spans="2:8" ht="14.4" customHeight="1" x14ac:dyDescent="0.3">
      <c r="B3" s="12" t="s">
        <v>3</v>
      </c>
      <c r="C3" s="8" t="s">
        <v>4</v>
      </c>
      <c r="D3" s="9"/>
      <c r="G3" s="64"/>
      <c r="H3" s="65"/>
    </row>
    <row r="4" spans="2:8" ht="15" customHeight="1" thickBot="1" x14ac:dyDescent="0.35">
      <c r="B4" s="12" t="s">
        <v>5</v>
      </c>
      <c r="C4" s="40">
        <f>'03-Work Order Tracker'!C4</f>
        <v>46026</v>
      </c>
      <c r="D4" s="9"/>
      <c r="G4" s="66"/>
      <c r="H4" s="67"/>
    </row>
    <row r="5" spans="2:8" x14ac:dyDescent="0.3">
      <c r="B5" s="12" t="s">
        <v>78</v>
      </c>
      <c r="C5" s="30">
        <v>140000</v>
      </c>
      <c r="D5" s="9"/>
      <c r="G5" s="32"/>
    </row>
    <row r="6" spans="2:8" x14ac:dyDescent="0.3">
      <c r="D6" s="9"/>
    </row>
    <row r="8" spans="2:8" x14ac:dyDescent="0.3">
      <c r="B8" s="5" t="s">
        <v>79</v>
      </c>
      <c r="C8" s="17" t="s">
        <v>66</v>
      </c>
      <c r="D8" s="5" t="s">
        <v>69</v>
      </c>
      <c r="E8" s="36" t="s">
        <v>7</v>
      </c>
      <c r="F8" s="10" t="s">
        <v>80</v>
      </c>
      <c r="G8" s="10" t="s">
        <v>81</v>
      </c>
      <c r="H8" s="2" t="s">
        <v>82</v>
      </c>
    </row>
    <row r="9" spans="2:8" x14ac:dyDescent="0.3">
      <c r="B9" s="31">
        <v>0</v>
      </c>
      <c r="C9" s="8">
        <v>0</v>
      </c>
      <c r="D9" s="31">
        <v>45962</v>
      </c>
      <c r="E9" s="37" t="s">
        <v>83</v>
      </c>
      <c r="F9" s="16">
        <v>70000</v>
      </c>
      <c r="G9" s="16">
        <f>F9*10%</f>
        <v>7000</v>
      </c>
      <c r="H9" s="33">
        <f>F9-G9</f>
        <v>63000</v>
      </c>
    </row>
    <row r="10" spans="2:8" x14ac:dyDescent="0.3">
      <c r="B10" s="31">
        <v>46019</v>
      </c>
      <c r="C10" s="30" t="s">
        <v>73</v>
      </c>
      <c r="D10" s="14"/>
      <c r="E10" s="37" t="s">
        <v>84</v>
      </c>
      <c r="F10" s="16">
        <v>140000</v>
      </c>
      <c r="G10" s="16"/>
      <c r="H10" s="4"/>
    </row>
    <row r="11" spans="2:8" x14ac:dyDescent="0.3">
      <c r="B11" s="14"/>
      <c r="C11" s="16"/>
      <c r="D11" s="14"/>
      <c r="E11" s="37"/>
      <c r="F11" s="16"/>
      <c r="G11" s="16"/>
      <c r="H11" s="4"/>
    </row>
    <row r="12" spans="2:8" x14ac:dyDescent="0.3">
      <c r="B12" s="14"/>
      <c r="C12" s="16"/>
      <c r="D12" s="14"/>
      <c r="E12" s="37"/>
      <c r="F12" s="16"/>
      <c r="G12" s="16"/>
      <c r="H12" s="4"/>
    </row>
    <row r="13" spans="2:8" x14ac:dyDescent="0.3">
      <c r="B13" s="14"/>
      <c r="C13" s="16"/>
      <c r="D13" s="14"/>
      <c r="E13" s="37"/>
      <c r="F13" s="16" t="s">
        <v>85</v>
      </c>
      <c r="G13" s="16"/>
      <c r="H13" s="4"/>
    </row>
    <row r="14" spans="2:8" x14ac:dyDescent="0.3">
      <c r="B14" s="14"/>
      <c r="C14" s="16"/>
      <c r="D14" s="14"/>
      <c r="E14" s="37"/>
      <c r="F14" s="16"/>
      <c r="G14" s="16"/>
      <c r="H14" s="4"/>
    </row>
    <row r="15" spans="2:8" x14ac:dyDescent="0.3">
      <c r="B15" s="14"/>
      <c r="C15" s="16"/>
      <c r="D15" s="14"/>
      <c r="E15" s="37"/>
      <c r="F15" s="16"/>
      <c r="G15" s="16"/>
      <c r="H15" s="4"/>
    </row>
    <row r="16" spans="2:8" x14ac:dyDescent="0.3">
      <c r="B16" s="14"/>
      <c r="C16" s="16"/>
      <c r="D16" s="14"/>
      <c r="E16" s="37"/>
      <c r="F16" s="16"/>
      <c r="G16" s="16"/>
      <c r="H16" s="4"/>
    </row>
    <row r="17" spans="2:8" x14ac:dyDescent="0.3">
      <c r="B17" s="14"/>
      <c r="C17" s="16"/>
      <c r="D17" s="14"/>
      <c r="E17" s="37"/>
      <c r="F17" s="16"/>
      <c r="G17" s="16"/>
      <c r="H17" s="4"/>
    </row>
    <row r="18" spans="2:8" x14ac:dyDescent="0.3">
      <c r="B18" s="14"/>
      <c r="C18" s="16"/>
      <c r="D18" s="14"/>
      <c r="E18" s="37"/>
      <c r="F18" s="16"/>
      <c r="G18" s="16"/>
      <c r="H18" s="4"/>
    </row>
    <row r="19" spans="2:8" x14ac:dyDescent="0.3">
      <c r="B19" s="14"/>
      <c r="C19" s="16"/>
      <c r="D19" s="14"/>
      <c r="E19" s="38"/>
      <c r="F19" s="8"/>
      <c r="G19" s="8"/>
      <c r="H19" s="4"/>
    </row>
    <row r="20" spans="2:8" x14ac:dyDescent="0.3">
      <c r="B20" s="14"/>
      <c r="C20" s="16"/>
      <c r="D20" s="14"/>
      <c r="E20" s="38"/>
      <c r="F20" s="8"/>
      <c r="G20" s="8"/>
      <c r="H20" s="4"/>
    </row>
    <row r="21" spans="2:8" x14ac:dyDescent="0.3">
      <c r="B21" s="14"/>
      <c r="C21" s="16"/>
      <c r="D21" s="14"/>
      <c r="E21" s="38"/>
      <c r="F21" s="8"/>
      <c r="G21" s="8"/>
      <c r="H21" s="4"/>
    </row>
    <row r="22" spans="2:8" x14ac:dyDescent="0.3">
      <c r="B22" s="14"/>
      <c r="C22" s="16"/>
      <c r="D22" s="14"/>
      <c r="E22" s="38"/>
      <c r="F22" s="8"/>
      <c r="G22" s="8"/>
      <c r="H22" s="4"/>
    </row>
    <row r="23" spans="2:8" x14ac:dyDescent="0.3">
      <c r="B23" s="6"/>
      <c r="C23" s="34"/>
      <c r="D23" s="6"/>
      <c r="E23" s="38"/>
      <c r="F23" s="8"/>
      <c r="G23" s="8"/>
      <c r="H23" s="4"/>
    </row>
    <row r="24" spans="2:8" x14ac:dyDescent="0.3">
      <c r="B24" s="6"/>
      <c r="C24" s="34"/>
      <c r="D24" s="6"/>
      <c r="E24" s="38"/>
      <c r="F24" s="8"/>
      <c r="G24" s="8"/>
      <c r="H24" s="4"/>
    </row>
    <row r="25" spans="2:8" x14ac:dyDescent="0.3">
      <c r="B25" s="6"/>
      <c r="C25" s="34"/>
      <c r="D25" s="6"/>
      <c r="E25" s="38"/>
      <c r="F25" s="8"/>
      <c r="G25" s="8"/>
      <c r="H25" s="4"/>
    </row>
    <row r="26" spans="2:8" x14ac:dyDescent="0.3">
      <c r="B26" s="6"/>
      <c r="C26" s="34"/>
      <c r="D26" s="6"/>
      <c r="E26" s="38"/>
      <c r="F26" s="8"/>
      <c r="G26" s="8"/>
      <c r="H26" s="4"/>
    </row>
    <row r="27" spans="2:8" x14ac:dyDescent="0.3">
      <c r="B27" s="6"/>
      <c r="C27" s="34"/>
      <c r="D27" s="6"/>
      <c r="E27" s="38"/>
      <c r="F27" s="8"/>
      <c r="G27" s="8"/>
      <c r="H27" s="4"/>
    </row>
    <row r="28" spans="2:8" x14ac:dyDescent="0.3">
      <c r="B28" s="6"/>
      <c r="C28" s="34"/>
      <c r="D28" s="6"/>
      <c r="E28" s="38"/>
      <c r="F28" s="8"/>
      <c r="G28" s="8"/>
      <c r="H28" s="4"/>
    </row>
    <row r="29" spans="2:8" x14ac:dyDescent="0.3">
      <c r="B29" s="6"/>
      <c r="C29" s="34"/>
      <c r="D29" s="6"/>
      <c r="E29" s="38"/>
      <c r="F29" s="8"/>
      <c r="G29" s="8"/>
      <c r="H29" s="4"/>
    </row>
    <row r="30" spans="2:8" x14ac:dyDescent="0.3">
      <c r="B30" s="6"/>
      <c r="C30" s="34"/>
      <c r="D30" s="6"/>
      <c r="E30" s="38"/>
      <c r="F30" s="8"/>
      <c r="G30" s="8"/>
      <c r="H30" s="4"/>
    </row>
    <row r="31" spans="2:8" x14ac:dyDescent="0.3">
      <c r="B31" s="6"/>
      <c r="C31" s="34"/>
      <c r="D31" s="6"/>
      <c r="E31" s="38"/>
      <c r="F31" s="8"/>
      <c r="G31" s="8"/>
      <c r="H31" s="4"/>
    </row>
    <row r="32" spans="2:8" x14ac:dyDescent="0.3">
      <c r="B32" s="6"/>
      <c r="C32" s="34"/>
      <c r="D32" s="6"/>
      <c r="E32" s="38"/>
      <c r="F32" s="8"/>
      <c r="G32" s="8"/>
      <c r="H32" s="4"/>
    </row>
    <row r="33" spans="2:8" x14ac:dyDescent="0.3">
      <c r="B33" s="6"/>
      <c r="C33" s="34"/>
      <c r="D33" s="6"/>
      <c r="E33" s="38"/>
      <c r="F33" s="8"/>
      <c r="G33" s="8"/>
      <c r="H33" s="4"/>
    </row>
    <row r="34" spans="2:8" x14ac:dyDescent="0.3">
      <c r="B34" s="6"/>
      <c r="C34" s="34"/>
      <c r="D34" s="6"/>
      <c r="E34" s="38"/>
      <c r="F34" s="8"/>
      <c r="G34" s="8"/>
      <c r="H34" s="4"/>
    </row>
    <row r="35" spans="2:8" x14ac:dyDescent="0.3">
      <c r="B35" s="6"/>
      <c r="C35" s="34"/>
      <c r="D35" s="6"/>
      <c r="E35" s="38"/>
      <c r="F35" s="8"/>
      <c r="G35" s="8"/>
      <c r="H35" s="4"/>
    </row>
    <row r="36" spans="2:8" x14ac:dyDescent="0.3">
      <c r="B36" s="6"/>
      <c r="C36" s="34"/>
      <c r="D36" s="6"/>
      <c r="E36" s="38"/>
      <c r="F36" s="8"/>
      <c r="G36" s="8"/>
      <c r="H36" s="4"/>
    </row>
    <row r="37" spans="2:8" x14ac:dyDescent="0.3">
      <c r="B37" s="6"/>
      <c r="C37" s="34"/>
      <c r="D37" s="6"/>
      <c r="E37" s="38"/>
      <c r="F37" s="8"/>
      <c r="G37" s="8"/>
      <c r="H37" s="4"/>
    </row>
    <row r="38" spans="2:8" x14ac:dyDescent="0.3">
      <c r="B38" s="6"/>
      <c r="C38" s="34"/>
      <c r="D38" s="6"/>
      <c r="E38" s="38"/>
      <c r="F38" s="8"/>
      <c r="G38" s="8"/>
      <c r="H38" s="4"/>
    </row>
    <row r="39" spans="2:8" x14ac:dyDescent="0.3">
      <c r="B39" s="6"/>
      <c r="C39" s="34"/>
      <c r="D39" s="6"/>
      <c r="E39" s="38"/>
      <c r="F39" s="8"/>
      <c r="G39" s="8"/>
      <c r="H39" s="4"/>
    </row>
    <row r="40" spans="2:8" x14ac:dyDescent="0.3">
      <c r="B40" s="6"/>
      <c r="C40" s="34"/>
      <c r="D40" s="6"/>
      <c r="E40" s="38"/>
      <c r="F40" s="8"/>
      <c r="G40" s="8"/>
      <c r="H40" s="4"/>
    </row>
    <row r="41" spans="2:8" x14ac:dyDescent="0.3">
      <c r="B41" s="6"/>
      <c r="C41" s="34"/>
      <c r="D41" s="6"/>
      <c r="E41" s="38"/>
      <c r="F41" s="8"/>
      <c r="G41" s="8"/>
      <c r="H41" s="4"/>
    </row>
    <row r="42" spans="2:8" x14ac:dyDescent="0.3">
      <c r="B42" s="6"/>
      <c r="C42" s="34"/>
      <c r="D42" s="6"/>
      <c r="E42" s="38"/>
      <c r="F42" s="8"/>
      <c r="G42" s="8"/>
      <c r="H42" s="4"/>
    </row>
    <row r="43" spans="2:8" x14ac:dyDescent="0.3">
      <c r="B43" s="6"/>
      <c r="C43" s="34"/>
      <c r="D43" s="6"/>
      <c r="E43" s="38"/>
      <c r="F43" s="8"/>
      <c r="G43" s="8"/>
      <c r="H43" s="4"/>
    </row>
    <row r="44" spans="2:8" x14ac:dyDescent="0.3">
      <c r="B44" s="6"/>
      <c r="C44" s="34"/>
      <c r="D44" s="6"/>
      <c r="E44" s="38"/>
      <c r="F44" s="8"/>
      <c r="G44" s="8"/>
      <c r="H44" s="4"/>
    </row>
    <row r="45" spans="2:8" x14ac:dyDescent="0.3">
      <c r="B45" s="6"/>
      <c r="C45" s="34"/>
      <c r="D45" s="6"/>
      <c r="E45" s="38"/>
      <c r="F45" s="8"/>
      <c r="G45" s="8"/>
      <c r="H45" s="4"/>
    </row>
    <row r="46" spans="2:8" x14ac:dyDescent="0.3">
      <c r="B46" s="6"/>
      <c r="C46" s="34"/>
      <c r="D46" s="6"/>
      <c r="E46" s="38"/>
      <c r="F46" s="8"/>
      <c r="G46" s="8"/>
      <c r="H46" s="4"/>
    </row>
    <row r="47" spans="2:8" x14ac:dyDescent="0.3">
      <c r="B47" s="6"/>
      <c r="C47" s="34"/>
      <c r="D47" s="6"/>
      <c r="E47" s="38"/>
      <c r="F47" s="8"/>
      <c r="G47" s="8"/>
      <c r="H47" s="4"/>
    </row>
    <row r="48" spans="2:8" x14ac:dyDescent="0.3">
      <c r="B48" s="6"/>
      <c r="C48" s="34"/>
      <c r="D48" s="6"/>
      <c r="E48" s="38"/>
      <c r="F48" s="8"/>
      <c r="G48" s="8"/>
      <c r="H48" s="4"/>
    </row>
    <row r="49" spans="2:8" x14ac:dyDescent="0.3">
      <c r="B49" s="6"/>
      <c r="C49" s="34"/>
      <c r="D49" s="6"/>
      <c r="E49" s="38"/>
      <c r="F49" s="8"/>
      <c r="G49" s="8"/>
      <c r="H49" s="4"/>
    </row>
    <row r="50" spans="2:8" x14ac:dyDescent="0.3">
      <c r="B50" s="6"/>
      <c r="C50" s="34"/>
      <c r="D50" s="6"/>
      <c r="E50" s="38"/>
      <c r="F50" s="8"/>
      <c r="G50" s="8"/>
      <c r="H50" s="4"/>
    </row>
    <row r="51" spans="2:8" x14ac:dyDescent="0.3">
      <c r="B51" s="6"/>
      <c r="C51" s="34"/>
      <c r="D51" s="6"/>
      <c r="E51" s="38"/>
      <c r="F51" s="8"/>
      <c r="G51" s="8"/>
      <c r="H51" s="4"/>
    </row>
    <row r="52" spans="2:8" x14ac:dyDescent="0.3">
      <c r="B52" s="6"/>
      <c r="C52" s="34"/>
      <c r="D52" s="6"/>
      <c r="E52" s="38"/>
      <c r="F52" s="8"/>
      <c r="G52" s="8"/>
      <c r="H52" s="4"/>
    </row>
    <row r="53" spans="2:8" x14ac:dyDescent="0.3">
      <c r="B53" s="6"/>
      <c r="C53" s="34"/>
      <c r="D53" s="6"/>
      <c r="E53" s="38"/>
      <c r="F53" s="8"/>
      <c r="G53" s="8"/>
      <c r="H53" s="4"/>
    </row>
    <row r="54" spans="2:8" x14ac:dyDescent="0.3">
      <c r="B54" s="6"/>
      <c r="C54" s="34"/>
      <c r="D54" s="6"/>
      <c r="E54" s="38"/>
      <c r="F54" s="8"/>
      <c r="G54" s="8"/>
      <c r="H54" s="4"/>
    </row>
    <row r="55" spans="2:8" x14ac:dyDescent="0.3">
      <c r="B55" s="6"/>
      <c r="C55" s="34"/>
      <c r="D55" s="6"/>
      <c r="E55" s="38"/>
      <c r="F55" s="8"/>
      <c r="G55" s="8"/>
      <c r="H55" s="4"/>
    </row>
    <row r="56" spans="2:8" x14ac:dyDescent="0.3">
      <c r="B56" s="60" t="s">
        <v>64</v>
      </c>
      <c r="C56" s="60"/>
      <c r="D56" s="60"/>
      <c r="E56" s="61"/>
      <c r="F56" s="17"/>
      <c r="G56" s="10">
        <f>SUM(G9:G55)</f>
        <v>7000</v>
      </c>
      <c r="H56" s="2"/>
    </row>
  </sheetData>
  <mergeCells count="2">
    <mergeCell ref="G2:H4"/>
    <mergeCell ref="B56:E56"/>
  </mergeCells>
  <pageMargins left="0.7" right="0.7" top="0.75" bottom="0.75" header="0.3" footer="0.3"/>
  <pageSetup scale="6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633E6-272C-4E65-9450-5A3075610FD6}">
  <dimension ref="B1:E60"/>
  <sheetViews>
    <sheetView view="pageBreakPreview" zoomScaleNormal="100" zoomScaleSheetLayoutView="100" workbookViewId="0">
      <selection activeCell="D16" sqref="D16"/>
    </sheetView>
  </sheetViews>
  <sheetFormatPr defaultRowHeight="14.4" x14ac:dyDescent="0.3"/>
  <cols>
    <col min="2" max="2" width="21.5546875" customWidth="1"/>
    <col min="3" max="3" width="37.88671875" customWidth="1"/>
    <col min="4" max="4" width="23.88671875" style="9" customWidth="1"/>
    <col min="5" max="5" width="20.33203125" customWidth="1"/>
  </cols>
  <sheetData>
    <row r="1" spans="2:5" ht="15" thickBot="1" x14ac:dyDescent="0.35"/>
    <row r="2" spans="2:5" x14ac:dyDescent="0.3">
      <c r="B2" s="12" t="s">
        <v>0</v>
      </c>
      <c r="C2" s="4" t="s">
        <v>1</v>
      </c>
      <c r="D2" s="62" t="s">
        <v>86</v>
      </c>
      <c r="E2" s="63"/>
    </row>
    <row r="3" spans="2:5" x14ac:dyDescent="0.3">
      <c r="B3" s="12" t="s">
        <v>3</v>
      </c>
      <c r="C3" s="4" t="s">
        <v>4</v>
      </c>
      <c r="D3" s="64"/>
      <c r="E3" s="65"/>
    </row>
    <row r="4" spans="2:5" ht="15" thickBot="1" x14ac:dyDescent="0.35">
      <c r="B4" s="12" t="s">
        <v>5</v>
      </c>
      <c r="C4" s="29">
        <f>'03-Work Order Tracker'!C4</f>
        <v>46026</v>
      </c>
      <c r="D4" s="66"/>
      <c r="E4" s="67"/>
    </row>
    <row r="6" spans="2:5" x14ac:dyDescent="0.3">
      <c r="B6" s="12" t="s">
        <v>87</v>
      </c>
      <c r="C6" s="39">
        <f>D11</f>
        <v>25000</v>
      </c>
    </row>
    <row r="7" spans="2:5" x14ac:dyDescent="0.3">
      <c r="B7" s="12" t="s">
        <v>88</v>
      </c>
      <c r="C7" s="39">
        <f>-SUM(D19:D23)</f>
        <v>81300</v>
      </c>
    </row>
    <row r="8" spans="2:5" x14ac:dyDescent="0.3">
      <c r="B8" s="12" t="s">
        <v>89</v>
      </c>
      <c r="C8" s="39">
        <f>C6-C7</f>
        <v>-56300</v>
      </c>
    </row>
    <row r="10" spans="2:5" s="1" customFormat="1" x14ac:dyDescent="0.3">
      <c r="B10" s="5" t="s">
        <v>90</v>
      </c>
      <c r="C10" s="5" t="s">
        <v>7</v>
      </c>
      <c r="D10" s="17" t="s">
        <v>80</v>
      </c>
      <c r="E10" s="5" t="s">
        <v>91</v>
      </c>
    </row>
    <row r="11" spans="2:5" x14ac:dyDescent="0.3">
      <c r="B11" s="23">
        <v>46000</v>
      </c>
      <c r="C11" s="4" t="s">
        <v>92</v>
      </c>
      <c r="D11" s="8">
        <v>25000</v>
      </c>
      <c r="E11" s="4"/>
    </row>
    <row r="12" spans="2:5" x14ac:dyDescent="0.3">
      <c r="B12" s="23">
        <v>46001</v>
      </c>
      <c r="C12" s="4" t="s">
        <v>92</v>
      </c>
      <c r="D12" s="8">
        <v>60000</v>
      </c>
      <c r="E12" s="4"/>
    </row>
    <row r="13" spans="2:5" x14ac:dyDescent="0.3">
      <c r="B13" s="23">
        <v>46005</v>
      </c>
      <c r="C13" s="4" t="s">
        <v>93</v>
      </c>
      <c r="D13" s="8">
        <v>-45000</v>
      </c>
      <c r="E13" s="4"/>
    </row>
    <row r="14" spans="2:5" x14ac:dyDescent="0.3">
      <c r="B14" s="23">
        <v>46005</v>
      </c>
      <c r="C14" s="4" t="s">
        <v>94</v>
      </c>
      <c r="D14" s="8">
        <v>-15000</v>
      </c>
      <c r="E14" s="4"/>
    </row>
    <row r="15" spans="2:5" x14ac:dyDescent="0.3">
      <c r="B15" s="23">
        <v>46017</v>
      </c>
      <c r="C15" s="56" t="s">
        <v>95</v>
      </c>
      <c r="D15" s="8">
        <v>-15000</v>
      </c>
      <c r="E15" s="4"/>
    </row>
    <row r="16" spans="2:5" x14ac:dyDescent="0.3">
      <c r="B16" s="23">
        <v>46017</v>
      </c>
      <c r="C16" s="4" t="s">
        <v>96</v>
      </c>
      <c r="D16" s="8">
        <v>-3800</v>
      </c>
      <c r="E16" s="4" t="s">
        <v>97</v>
      </c>
    </row>
    <row r="17" spans="2:5" x14ac:dyDescent="0.3">
      <c r="B17" s="23"/>
      <c r="C17" s="56"/>
      <c r="D17" s="8"/>
      <c r="E17" s="4"/>
    </row>
    <row r="18" spans="2:5" x14ac:dyDescent="0.3">
      <c r="B18" s="23"/>
      <c r="C18" s="4"/>
      <c r="D18" s="8"/>
      <c r="E18" s="4"/>
    </row>
    <row r="19" spans="2:5" x14ac:dyDescent="0.3">
      <c r="B19" s="57">
        <v>46003</v>
      </c>
      <c r="C19" s="58" t="s">
        <v>98</v>
      </c>
      <c r="D19" s="59">
        <v>-2500</v>
      </c>
      <c r="E19" s="58" t="s">
        <v>99</v>
      </c>
    </row>
    <row r="20" spans="2:5" x14ac:dyDescent="0.3">
      <c r="B20" s="57">
        <v>46007</v>
      </c>
      <c r="C20" s="58" t="s">
        <v>94</v>
      </c>
      <c r="D20" s="59">
        <v>-15000</v>
      </c>
      <c r="E20" s="58" t="s">
        <v>100</v>
      </c>
    </row>
    <row r="21" spans="2:5" x14ac:dyDescent="0.3">
      <c r="B21" s="57">
        <v>46007</v>
      </c>
      <c r="C21" s="58" t="s">
        <v>93</v>
      </c>
      <c r="D21" s="59">
        <v>-40000</v>
      </c>
      <c r="E21" s="58" t="s">
        <v>100</v>
      </c>
    </row>
    <row r="22" spans="2:5" x14ac:dyDescent="0.3">
      <c r="B22" s="57">
        <v>46017</v>
      </c>
      <c r="C22" s="58" t="s">
        <v>96</v>
      </c>
      <c r="D22" s="59">
        <v>-3800</v>
      </c>
      <c r="E22" s="58" t="s">
        <v>97</v>
      </c>
    </row>
    <row r="23" spans="2:5" x14ac:dyDescent="0.3">
      <c r="B23" s="57">
        <v>46017</v>
      </c>
      <c r="C23" s="58" t="s">
        <v>101</v>
      </c>
      <c r="D23" s="59">
        <v>-20000</v>
      </c>
      <c r="E23" s="58" t="s">
        <v>100</v>
      </c>
    </row>
    <row r="24" spans="2:5" x14ac:dyDescent="0.3">
      <c r="B24" s="4"/>
      <c r="C24" s="4"/>
      <c r="D24" s="8"/>
      <c r="E24" s="4"/>
    </row>
    <row r="25" spans="2:5" x14ac:dyDescent="0.3">
      <c r="B25" s="4"/>
      <c r="C25" s="4"/>
      <c r="D25" s="8"/>
      <c r="E25" s="4"/>
    </row>
    <row r="26" spans="2:5" x14ac:dyDescent="0.3">
      <c r="B26" s="4"/>
      <c r="C26" s="4"/>
      <c r="D26" s="8"/>
      <c r="E26" s="4"/>
    </row>
    <row r="27" spans="2:5" x14ac:dyDescent="0.3">
      <c r="B27" s="4"/>
      <c r="C27" s="4"/>
      <c r="D27" s="8"/>
      <c r="E27" s="4"/>
    </row>
    <row r="28" spans="2:5" x14ac:dyDescent="0.3">
      <c r="B28" s="4"/>
      <c r="C28" s="4"/>
      <c r="D28" s="8"/>
      <c r="E28" s="4"/>
    </row>
    <row r="29" spans="2:5" x14ac:dyDescent="0.3">
      <c r="B29" s="4"/>
      <c r="C29" s="4"/>
      <c r="D29" s="8"/>
      <c r="E29" s="4"/>
    </row>
    <row r="30" spans="2:5" x14ac:dyDescent="0.3">
      <c r="B30" s="4"/>
      <c r="C30" s="4"/>
      <c r="D30" s="8"/>
      <c r="E30" s="4"/>
    </row>
    <row r="31" spans="2:5" x14ac:dyDescent="0.3">
      <c r="B31" s="4"/>
      <c r="C31" s="4"/>
      <c r="D31" s="8"/>
      <c r="E31" s="4"/>
    </row>
    <row r="32" spans="2:5" x14ac:dyDescent="0.3">
      <c r="B32" s="4"/>
      <c r="C32" s="4"/>
      <c r="D32" s="8"/>
      <c r="E32" s="4"/>
    </row>
    <row r="33" spans="2:5" x14ac:dyDescent="0.3">
      <c r="B33" s="4"/>
      <c r="C33" s="4"/>
      <c r="D33" s="8"/>
      <c r="E33" s="4"/>
    </row>
    <row r="34" spans="2:5" x14ac:dyDescent="0.3">
      <c r="B34" s="4"/>
      <c r="C34" s="4"/>
      <c r="D34" s="8"/>
      <c r="E34" s="4"/>
    </row>
    <row r="35" spans="2:5" x14ac:dyDescent="0.3">
      <c r="B35" s="4"/>
      <c r="C35" s="4"/>
      <c r="D35" s="8"/>
      <c r="E35" s="4"/>
    </row>
    <row r="36" spans="2:5" x14ac:dyDescent="0.3">
      <c r="B36" s="4"/>
      <c r="C36" s="4"/>
      <c r="D36" s="8"/>
      <c r="E36" s="4"/>
    </row>
    <row r="37" spans="2:5" x14ac:dyDescent="0.3">
      <c r="B37" s="4"/>
      <c r="C37" s="4"/>
      <c r="D37" s="8"/>
      <c r="E37" s="4"/>
    </row>
    <row r="38" spans="2:5" x14ac:dyDescent="0.3">
      <c r="B38" s="4"/>
      <c r="C38" s="4"/>
      <c r="D38" s="8"/>
      <c r="E38" s="4"/>
    </row>
    <row r="39" spans="2:5" x14ac:dyDescent="0.3">
      <c r="B39" s="4"/>
      <c r="C39" s="4"/>
      <c r="D39" s="8"/>
      <c r="E39" s="4"/>
    </row>
    <row r="40" spans="2:5" x14ac:dyDescent="0.3">
      <c r="B40" s="4"/>
      <c r="C40" s="4"/>
      <c r="D40" s="8"/>
      <c r="E40" s="4"/>
    </row>
    <row r="41" spans="2:5" x14ac:dyDescent="0.3">
      <c r="B41" s="4"/>
      <c r="C41" s="4"/>
      <c r="D41" s="8"/>
      <c r="E41" s="4"/>
    </row>
    <row r="42" spans="2:5" x14ac:dyDescent="0.3">
      <c r="B42" s="4"/>
      <c r="C42" s="4"/>
      <c r="D42" s="8"/>
      <c r="E42" s="4"/>
    </row>
    <row r="43" spans="2:5" x14ac:dyDescent="0.3">
      <c r="B43" s="4"/>
      <c r="C43" s="4"/>
      <c r="D43" s="8"/>
      <c r="E43" s="4"/>
    </row>
    <row r="44" spans="2:5" x14ac:dyDescent="0.3">
      <c r="B44" s="4"/>
      <c r="C44" s="4"/>
      <c r="D44" s="8"/>
      <c r="E44" s="4"/>
    </row>
    <row r="45" spans="2:5" x14ac:dyDescent="0.3">
      <c r="B45" s="4"/>
      <c r="C45" s="4"/>
      <c r="D45" s="8"/>
      <c r="E45" s="4"/>
    </row>
    <row r="46" spans="2:5" x14ac:dyDescent="0.3">
      <c r="B46" s="4"/>
      <c r="C46" s="4"/>
      <c r="D46" s="8"/>
      <c r="E46" s="4"/>
    </row>
    <row r="47" spans="2:5" x14ac:dyDescent="0.3">
      <c r="B47" s="4"/>
      <c r="C47" s="4"/>
      <c r="D47" s="8"/>
      <c r="E47" s="4"/>
    </row>
    <row r="48" spans="2:5" x14ac:dyDescent="0.3">
      <c r="B48" s="4"/>
      <c r="C48" s="4"/>
      <c r="D48" s="8"/>
      <c r="E48" s="4"/>
    </row>
    <row r="49" spans="2:5" x14ac:dyDescent="0.3">
      <c r="B49" s="4"/>
      <c r="C49" s="4"/>
      <c r="D49" s="8"/>
      <c r="E49" s="4"/>
    </row>
    <row r="50" spans="2:5" x14ac:dyDescent="0.3">
      <c r="B50" s="4"/>
      <c r="C50" s="4"/>
      <c r="D50" s="8"/>
      <c r="E50" s="4"/>
    </row>
    <row r="51" spans="2:5" x14ac:dyDescent="0.3">
      <c r="B51" s="4"/>
      <c r="C51" s="4"/>
      <c r="D51" s="8"/>
      <c r="E51" s="4"/>
    </row>
    <row r="52" spans="2:5" x14ac:dyDescent="0.3">
      <c r="B52" s="4"/>
      <c r="C52" s="4"/>
      <c r="D52" s="8"/>
      <c r="E52" s="4"/>
    </row>
    <row r="53" spans="2:5" x14ac:dyDescent="0.3">
      <c r="B53" s="4"/>
      <c r="C53" s="4"/>
      <c r="D53" s="8"/>
      <c r="E53" s="4"/>
    </row>
    <row r="54" spans="2:5" x14ac:dyDescent="0.3">
      <c r="B54" s="4"/>
      <c r="C54" s="4"/>
      <c r="D54" s="8"/>
      <c r="E54" s="4"/>
    </row>
    <row r="55" spans="2:5" x14ac:dyDescent="0.3">
      <c r="B55" s="4"/>
      <c r="C55" s="4"/>
      <c r="D55" s="8"/>
      <c r="E55" s="4"/>
    </row>
    <row r="56" spans="2:5" x14ac:dyDescent="0.3">
      <c r="B56" s="4"/>
      <c r="C56" s="4"/>
      <c r="D56" s="8"/>
      <c r="E56" s="4"/>
    </row>
    <row r="57" spans="2:5" x14ac:dyDescent="0.3">
      <c r="B57" s="4"/>
      <c r="C57" s="4"/>
      <c r="D57" s="8"/>
      <c r="E57" s="4"/>
    </row>
    <row r="58" spans="2:5" x14ac:dyDescent="0.3">
      <c r="B58" s="4"/>
      <c r="C58" s="4"/>
      <c r="D58" s="8"/>
      <c r="E58" s="4"/>
    </row>
    <row r="59" spans="2:5" x14ac:dyDescent="0.3">
      <c r="B59" s="4"/>
      <c r="C59" s="4"/>
      <c r="D59" s="8"/>
      <c r="E59" s="4"/>
    </row>
    <row r="60" spans="2:5" x14ac:dyDescent="0.3">
      <c r="B60" s="4"/>
      <c r="C60" s="4"/>
      <c r="D60" s="8"/>
      <c r="E60" s="4"/>
    </row>
  </sheetData>
  <mergeCells count="1">
    <mergeCell ref="D2:E4"/>
  </mergeCells>
  <pageMargins left="0.23622047244094491" right="0.23622047244094491" top="0.74803149606299213" bottom="0.74803149606299213" header="0.31496062992125984" footer="0.31496062992125984"/>
  <pageSetup paperSize="9" scale="95" fitToHeight="0" orientation="portrait" r:id="rId1"/>
  <headerFooter>
    <oddFooter>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4CE17-3DEF-460B-8892-70B47F48221D}">
  <sheetPr>
    <pageSetUpPr fitToPage="1"/>
  </sheetPr>
  <dimension ref="B1:F51"/>
  <sheetViews>
    <sheetView view="pageBreakPreview" zoomScaleNormal="100" zoomScaleSheetLayoutView="100" workbookViewId="0">
      <selection activeCell="E7" sqref="E7"/>
    </sheetView>
  </sheetViews>
  <sheetFormatPr defaultRowHeight="14.4" x14ac:dyDescent="0.3"/>
  <cols>
    <col min="2" max="2" width="13.5546875" bestFit="1" customWidth="1"/>
    <col min="3" max="3" width="22.109375" customWidth="1"/>
    <col min="4" max="4" width="19.88671875" customWidth="1"/>
    <col min="5" max="5" width="21.33203125" customWidth="1"/>
    <col min="6" max="6" width="14.33203125" bestFit="1" customWidth="1"/>
  </cols>
  <sheetData>
    <row r="1" spans="2:6" ht="15" thickBot="1" x14ac:dyDescent="0.35"/>
    <row r="2" spans="2:6" x14ac:dyDescent="0.3">
      <c r="B2" s="12" t="s">
        <v>0</v>
      </c>
      <c r="C2" s="4" t="s">
        <v>1</v>
      </c>
      <c r="E2" s="62" t="s">
        <v>102</v>
      </c>
      <c r="F2" s="63"/>
    </row>
    <row r="3" spans="2:6" x14ac:dyDescent="0.3">
      <c r="B3" s="12" t="s">
        <v>3</v>
      </c>
      <c r="C3" s="4" t="s">
        <v>4</v>
      </c>
      <c r="E3" s="64"/>
      <c r="F3" s="65"/>
    </row>
    <row r="4" spans="2:6" ht="15" thickBot="1" x14ac:dyDescent="0.35">
      <c r="B4" s="12" t="s">
        <v>5</v>
      </c>
      <c r="C4" s="4"/>
      <c r="E4" s="66"/>
      <c r="F4" s="67"/>
    </row>
    <row r="6" spans="2:6" x14ac:dyDescent="0.3">
      <c r="B6" s="2" t="s">
        <v>6</v>
      </c>
      <c r="C6" s="2" t="s">
        <v>41</v>
      </c>
      <c r="D6" s="10" t="s">
        <v>7</v>
      </c>
      <c r="E6" s="10" t="s">
        <v>103</v>
      </c>
      <c r="F6" s="10" t="s">
        <v>104</v>
      </c>
    </row>
    <row r="7" spans="2:6" x14ac:dyDescent="0.3">
      <c r="B7" s="4" t="s">
        <v>105</v>
      </c>
      <c r="C7" s="4"/>
      <c r="D7" s="8"/>
      <c r="E7" s="8"/>
      <c r="F7" s="4"/>
    </row>
    <row r="8" spans="2:6" x14ac:dyDescent="0.3">
      <c r="B8" s="4"/>
      <c r="C8" s="4"/>
      <c r="D8" s="8"/>
      <c r="E8" s="8"/>
      <c r="F8" s="4"/>
    </row>
    <row r="9" spans="2:6" x14ac:dyDescent="0.3">
      <c r="B9" s="4"/>
      <c r="C9" s="4"/>
      <c r="D9" s="8"/>
      <c r="E9" s="8"/>
      <c r="F9" s="4"/>
    </row>
    <row r="10" spans="2:6" x14ac:dyDescent="0.3">
      <c r="B10" s="4"/>
      <c r="C10" s="4"/>
      <c r="D10" s="8"/>
      <c r="E10" s="8"/>
      <c r="F10" s="4"/>
    </row>
    <row r="11" spans="2:6" x14ac:dyDescent="0.3">
      <c r="B11" s="4"/>
      <c r="C11" s="4"/>
      <c r="D11" s="8"/>
      <c r="E11" s="8"/>
      <c r="F11" s="4"/>
    </row>
    <row r="12" spans="2:6" x14ac:dyDescent="0.3">
      <c r="B12" s="4"/>
      <c r="C12" s="4"/>
      <c r="D12" s="4"/>
      <c r="E12" s="4"/>
      <c r="F12" s="4"/>
    </row>
    <row r="13" spans="2:6" x14ac:dyDescent="0.3">
      <c r="B13" s="4"/>
      <c r="C13" s="4"/>
      <c r="D13" s="4"/>
      <c r="E13" s="4"/>
      <c r="F13" s="4"/>
    </row>
    <row r="14" spans="2:6" x14ac:dyDescent="0.3">
      <c r="B14" s="4"/>
      <c r="C14" s="4"/>
      <c r="D14" s="4"/>
      <c r="E14" s="4"/>
      <c r="F14" s="4"/>
    </row>
    <row r="15" spans="2:6" x14ac:dyDescent="0.3">
      <c r="B15" s="4"/>
      <c r="C15" s="4"/>
      <c r="D15" s="4"/>
      <c r="E15" s="4"/>
      <c r="F15" s="4"/>
    </row>
    <row r="16" spans="2:6" x14ac:dyDescent="0.3">
      <c r="B16" s="4"/>
      <c r="C16" s="4"/>
      <c r="D16" s="4"/>
      <c r="E16" s="4"/>
      <c r="F16" s="4"/>
    </row>
    <row r="17" spans="2:6" x14ac:dyDescent="0.3">
      <c r="B17" s="4"/>
      <c r="C17" s="4"/>
      <c r="D17" s="4"/>
      <c r="E17" s="4"/>
      <c r="F17" s="4"/>
    </row>
    <row r="18" spans="2:6" x14ac:dyDescent="0.3">
      <c r="B18" s="4"/>
      <c r="C18" s="4"/>
      <c r="D18" s="4"/>
      <c r="E18" s="4"/>
      <c r="F18" s="4"/>
    </row>
    <row r="19" spans="2:6" x14ac:dyDescent="0.3">
      <c r="B19" s="4"/>
      <c r="C19" s="4"/>
      <c r="D19" s="4"/>
      <c r="E19" s="4"/>
      <c r="F19" s="4"/>
    </row>
    <row r="20" spans="2:6" x14ac:dyDescent="0.3">
      <c r="B20" s="4"/>
      <c r="C20" s="4"/>
      <c r="D20" s="4"/>
      <c r="E20" s="4"/>
      <c r="F20" s="4"/>
    </row>
    <row r="21" spans="2:6" x14ac:dyDescent="0.3">
      <c r="B21" s="4"/>
      <c r="C21" s="4"/>
      <c r="D21" s="4"/>
      <c r="E21" s="4"/>
      <c r="F21" s="4"/>
    </row>
    <row r="22" spans="2:6" x14ac:dyDescent="0.3">
      <c r="B22" s="4"/>
      <c r="C22" s="4"/>
      <c r="D22" s="4"/>
      <c r="E22" s="4"/>
      <c r="F22" s="4"/>
    </row>
    <row r="23" spans="2:6" x14ac:dyDescent="0.3">
      <c r="B23" s="4"/>
      <c r="C23" s="4"/>
      <c r="D23" s="4"/>
      <c r="E23" s="4"/>
      <c r="F23" s="4"/>
    </row>
    <row r="24" spans="2:6" x14ac:dyDescent="0.3">
      <c r="B24" s="4"/>
      <c r="C24" s="4"/>
      <c r="D24" s="4"/>
      <c r="E24" s="4"/>
      <c r="F24" s="4"/>
    </row>
    <row r="25" spans="2:6" x14ac:dyDescent="0.3">
      <c r="B25" s="4"/>
      <c r="C25" s="4"/>
      <c r="D25" s="4"/>
      <c r="E25" s="4"/>
      <c r="F25" s="4"/>
    </row>
    <row r="26" spans="2:6" x14ac:dyDescent="0.3">
      <c r="B26" s="4"/>
      <c r="C26" s="4"/>
      <c r="D26" s="4"/>
      <c r="E26" s="4"/>
      <c r="F26" s="4"/>
    </row>
    <row r="27" spans="2:6" x14ac:dyDescent="0.3">
      <c r="B27" s="4"/>
      <c r="C27" s="4"/>
      <c r="D27" s="4"/>
      <c r="E27" s="4"/>
      <c r="F27" s="4"/>
    </row>
    <row r="28" spans="2:6" x14ac:dyDescent="0.3">
      <c r="B28" s="4"/>
      <c r="C28" s="4"/>
      <c r="D28" s="4"/>
      <c r="E28" s="4"/>
      <c r="F28" s="4"/>
    </row>
    <row r="29" spans="2:6" x14ac:dyDescent="0.3">
      <c r="B29" s="4"/>
      <c r="C29" s="4"/>
      <c r="D29" s="4"/>
      <c r="E29" s="4"/>
      <c r="F29" s="4"/>
    </row>
    <row r="30" spans="2:6" x14ac:dyDescent="0.3">
      <c r="B30" s="4"/>
      <c r="C30" s="4"/>
      <c r="D30" s="4"/>
      <c r="E30" s="4"/>
      <c r="F30" s="4"/>
    </row>
    <row r="31" spans="2:6" x14ac:dyDescent="0.3">
      <c r="B31" s="4"/>
      <c r="C31" s="4"/>
      <c r="D31" s="4"/>
      <c r="E31" s="4"/>
      <c r="F31" s="4"/>
    </row>
    <row r="32" spans="2:6" x14ac:dyDescent="0.3">
      <c r="B32" s="4"/>
      <c r="C32" s="4"/>
      <c r="D32" s="4"/>
      <c r="E32" s="4"/>
      <c r="F32" s="4"/>
    </row>
    <row r="33" spans="2:6" x14ac:dyDescent="0.3">
      <c r="B33" s="4"/>
      <c r="C33" s="4"/>
      <c r="D33" s="4"/>
      <c r="E33" s="4"/>
      <c r="F33" s="4"/>
    </row>
    <row r="34" spans="2:6" x14ac:dyDescent="0.3">
      <c r="B34" s="4"/>
      <c r="C34" s="4"/>
      <c r="D34" s="4"/>
      <c r="E34" s="4"/>
      <c r="F34" s="4"/>
    </row>
    <row r="35" spans="2:6" x14ac:dyDescent="0.3">
      <c r="B35" s="4"/>
      <c r="C35" s="4"/>
      <c r="D35" s="4"/>
      <c r="E35" s="4"/>
      <c r="F35" s="4"/>
    </row>
    <row r="36" spans="2:6" x14ac:dyDescent="0.3">
      <c r="B36" s="4"/>
      <c r="C36" s="4"/>
      <c r="D36" s="4"/>
      <c r="E36" s="4"/>
      <c r="F36" s="4"/>
    </row>
    <row r="37" spans="2:6" x14ac:dyDescent="0.3">
      <c r="B37" s="4"/>
      <c r="C37" s="4"/>
      <c r="D37" s="4"/>
      <c r="E37" s="4"/>
      <c r="F37" s="4"/>
    </row>
    <row r="38" spans="2:6" x14ac:dyDescent="0.3">
      <c r="B38" s="4"/>
      <c r="C38" s="4"/>
      <c r="D38" s="4"/>
      <c r="E38" s="4"/>
      <c r="F38" s="4"/>
    </row>
    <row r="39" spans="2:6" x14ac:dyDescent="0.3">
      <c r="B39" s="4"/>
      <c r="C39" s="4"/>
      <c r="D39" s="4"/>
      <c r="E39" s="4"/>
      <c r="F39" s="4"/>
    </row>
    <row r="40" spans="2:6" x14ac:dyDescent="0.3">
      <c r="B40" s="4"/>
      <c r="C40" s="4"/>
      <c r="D40" s="4"/>
      <c r="E40" s="4"/>
      <c r="F40" s="4"/>
    </row>
    <row r="41" spans="2:6" x14ac:dyDescent="0.3">
      <c r="B41" s="4"/>
      <c r="C41" s="4"/>
      <c r="D41" s="4"/>
      <c r="E41" s="4"/>
      <c r="F41" s="4"/>
    </row>
    <row r="42" spans="2:6" x14ac:dyDescent="0.3">
      <c r="B42" s="4"/>
      <c r="C42" s="4"/>
      <c r="D42" s="4"/>
      <c r="E42" s="4"/>
      <c r="F42" s="4"/>
    </row>
    <row r="43" spans="2:6" x14ac:dyDescent="0.3">
      <c r="B43" s="4"/>
      <c r="C43" s="4"/>
      <c r="D43" s="4"/>
      <c r="E43" s="4"/>
      <c r="F43" s="4"/>
    </row>
    <row r="44" spans="2:6" x14ac:dyDescent="0.3">
      <c r="B44" s="4"/>
      <c r="C44" s="4"/>
      <c r="D44" s="4"/>
      <c r="E44" s="4"/>
      <c r="F44" s="4"/>
    </row>
    <row r="45" spans="2:6" x14ac:dyDescent="0.3">
      <c r="B45" s="4"/>
      <c r="C45" s="4"/>
      <c r="D45" s="4"/>
      <c r="E45" s="4"/>
      <c r="F45" s="4"/>
    </row>
    <row r="46" spans="2:6" x14ac:dyDescent="0.3">
      <c r="B46" s="4"/>
      <c r="C46" s="4"/>
      <c r="D46" s="4"/>
      <c r="E46" s="4"/>
      <c r="F46" s="4"/>
    </row>
    <row r="47" spans="2:6" x14ac:dyDescent="0.3">
      <c r="B47" s="4"/>
      <c r="C47" s="4"/>
      <c r="D47" s="4"/>
      <c r="E47" s="4"/>
      <c r="F47" s="4"/>
    </row>
    <row r="48" spans="2:6" x14ac:dyDescent="0.3">
      <c r="B48" s="4"/>
      <c r="C48" s="4"/>
      <c r="D48" s="4"/>
      <c r="E48" s="4"/>
      <c r="F48" s="4"/>
    </row>
    <row r="49" spans="2:6" x14ac:dyDescent="0.3">
      <c r="B49" s="4"/>
      <c r="C49" s="4"/>
      <c r="D49" s="4"/>
      <c r="E49" s="4"/>
      <c r="F49" s="4"/>
    </row>
    <row r="50" spans="2:6" x14ac:dyDescent="0.3">
      <c r="B50" s="4"/>
      <c r="C50" s="4"/>
      <c r="D50" s="4"/>
      <c r="E50" s="4"/>
      <c r="F50" s="4"/>
    </row>
    <row r="51" spans="2:6" x14ac:dyDescent="0.3">
      <c r="B51" s="4"/>
      <c r="C51" s="4"/>
      <c r="D51" s="4"/>
      <c r="E51" s="4"/>
      <c r="F51" s="4"/>
    </row>
  </sheetData>
  <mergeCells count="1">
    <mergeCell ref="E2:F4"/>
  </mergeCells>
  <pageMargins left="0.23622047244094491" right="0.23622047244094491" top="0.74803149606299213" bottom="0.74803149606299213" header="0.31496062992125984" footer="0.31496062992125984"/>
  <pageSetup paperSize="9" fitToHeight="0" orientation="portrait" r:id="rId1"/>
  <headerFooter>
    <oddFooter>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E7419-81DE-46BE-BD93-D3C85136F85F}">
  <sheetPr>
    <pageSetUpPr fitToPage="1"/>
  </sheetPr>
  <dimension ref="A2:E16"/>
  <sheetViews>
    <sheetView workbookViewId="0">
      <selection activeCell="A6" sqref="A6:XFD6"/>
    </sheetView>
  </sheetViews>
  <sheetFormatPr defaultRowHeight="14.4" x14ac:dyDescent="0.3"/>
  <cols>
    <col min="3" max="3" width="26.88671875" bestFit="1" customWidth="1"/>
    <col min="4" max="4" width="153.33203125" bestFit="1" customWidth="1"/>
    <col min="5" max="5" width="59.6640625" bestFit="1" customWidth="1"/>
  </cols>
  <sheetData>
    <row r="2" spans="1:5" x14ac:dyDescent="0.3">
      <c r="B2" s="5" t="s">
        <v>6</v>
      </c>
      <c r="C2" s="5" t="s">
        <v>106</v>
      </c>
      <c r="D2" s="5" t="s">
        <v>107</v>
      </c>
      <c r="E2" s="5" t="s">
        <v>108</v>
      </c>
    </row>
    <row r="3" spans="1:5" x14ac:dyDescent="0.3">
      <c r="A3" s="4">
        <v>1</v>
      </c>
      <c r="B3" s="7" t="s">
        <v>49</v>
      </c>
      <c r="C3" s="4" t="s">
        <v>109</v>
      </c>
      <c r="D3" s="4" t="s">
        <v>110</v>
      </c>
      <c r="E3" s="4"/>
    </row>
    <row r="4" spans="1:5" x14ac:dyDescent="0.3">
      <c r="A4" s="4">
        <v>2</v>
      </c>
      <c r="B4" s="7" t="s">
        <v>111</v>
      </c>
      <c r="C4" s="4" t="s">
        <v>112</v>
      </c>
      <c r="D4" s="4" t="s">
        <v>113</v>
      </c>
      <c r="E4" s="4" t="s">
        <v>114</v>
      </c>
    </row>
    <row r="5" spans="1:5" x14ac:dyDescent="0.3">
      <c r="A5" s="4">
        <v>3</v>
      </c>
      <c r="B5" s="7" t="s">
        <v>61</v>
      </c>
      <c r="C5" s="4" t="s">
        <v>115</v>
      </c>
      <c r="D5" s="4" t="s">
        <v>116</v>
      </c>
      <c r="E5" s="4" t="s">
        <v>117</v>
      </c>
    </row>
    <row r="6" spans="1:5" x14ac:dyDescent="0.3">
      <c r="A6" s="4">
        <v>4</v>
      </c>
      <c r="B6" s="7" t="s">
        <v>118</v>
      </c>
      <c r="C6" s="4" t="s">
        <v>119</v>
      </c>
      <c r="D6" s="4" t="s">
        <v>120</v>
      </c>
      <c r="E6" s="4" t="s">
        <v>121</v>
      </c>
    </row>
    <row r="7" spans="1:5" x14ac:dyDescent="0.3">
      <c r="A7" s="4">
        <v>5</v>
      </c>
      <c r="B7" s="7" t="s">
        <v>122</v>
      </c>
      <c r="C7" s="4" t="s">
        <v>123</v>
      </c>
      <c r="D7" s="4" t="s">
        <v>124</v>
      </c>
      <c r="E7" s="4" t="s">
        <v>125</v>
      </c>
    </row>
    <row r="8" spans="1:5" x14ac:dyDescent="0.3">
      <c r="A8" s="4">
        <v>6</v>
      </c>
      <c r="B8" s="7" t="s">
        <v>126</v>
      </c>
      <c r="C8" s="4" t="s">
        <v>127</v>
      </c>
      <c r="D8" s="4" t="s">
        <v>128</v>
      </c>
      <c r="E8" s="4" t="s">
        <v>129</v>
      </c>
    </row>
    <row r="9" spans="1:5" x14ac:dyDescent="0.3">
      <c r="A9" s="4">
        <v>7</v>
      </c>
      <c r="B9" s="7" t="s">
        <v>130</v>
      </c>
      <c r="C9" s="4" t="s">
        <v>131</v>
      </c>
      <c r="D9" s="4" t="s">
        <v>132</v>
      </c>
      <c r="E9" s="4" t="s">
        <v>133</v>
      </c>
    </row>
    <row r="10" spans="1:5" x14ac:dyDescent="0.3">
      <c r="A10" s="4">
        <v>8</v>
      </c>
      <c r="B10" s="7" t="s">
        <v>134</v>
      </c>
      <c r="C10" s="4" t="s">
        <v>135</v>
      </c>
      <c r="D10" s="4" t="s">
        <v>136</v>
      </c>
      <c r="E10" s="4" t="s">
        <v>137</v>
      </c>
    </row>
    <row r="11" spans="1:5" x14ac:dyDescent="0.3">
      <c r="A11" s="4">
        <v>9</v>
      </c>
      <c r="B11" s="7" t="s">
        <v>138</v>
      </c>
      <c r="C11" s="4" t="s">
        <v>139</v>
      </c>
      <c r="D11" s="4" t="s">
        <v>140</v>
      </c>
      <c r="E11" s="4" t="s">
        <v>141</v>
      </c>
    </row>
    <row r="12" spans="1:5" x14ac:dyDescent="0.3">
      <c r="A12" s="4">
        <v>9</v>
      </c>
      <c r="B12" s="7" t="s">
        <v>105</v>
      </c>
      <c r="C12" s="4" t="s">
        <v>142</v>
      </c>
      <c r="D12" s="4" t="s">
        <v>143</v>
      </c>
      <c r="E12" s="4" t="s">
        <v>144</v>
      </c>
    </row>
    <row r="13" spans="1:5" x14ac:dyDescent="0.3">
      <c r="A13" s="4">
        <v>10</v>
      </c>
      <c r="B13" s="7" t="s">
        <v>52</v>
      </c>
      <c r="C13" s="4" t="s">
        <v>145</v>
      </c>
      <c r="D13" s="4" t="s">
        <v>146</v>
      </c>
      <c r="E13" s="4"/>
    </row>
    <row r="14" spans="1:5" x14ac:dyDescent="0.3">
      <c r="A14" s="4">
        <v>11</v>
      </c>
      <c r="B14" s="7" t="s">
        <v>147</v>
      </c>
      <c r="C14" s="4" t="s">
        <v>148</v>
      </c>
      <c r="D14" s="4" t="s">
        <v>149</v>
      </c>
      <c r="E14" s="4"/>
    </row>
    <row r="15" spans="1:5" x14ac:dyDescent="0.3">
      <c r="A15" s="4">
        <v>12</v>
      </c>
      <c r="B15" s="7" t="s">
        <v>150</v>
      </c>
      <c r="C15" s="4" t="s">
        <v>151</v>
      </c>
      <c r="D15" s="4" t="s">
        <v>152</v>
      </c>
      <c r="E15" s="4"/>
    </row>
    <row r="16" spans="1:5" x14ac:dyDescent="0.3">
      <c r="A16" s="4">
        <v>13</v>
      </c>
      <c r="B16" s="7" t="s">
        <v>153</v>
      </c>
      <c r="C16" s="4" t="s">
        <v>154</v>
      </c>
      <c r="D16" s="4" t="s">
        <v>155</v>
      </c>
      <c r="E16" s="4"/>
    </row>
  </sheetData>
  <pageMargins left="0.25" right="0.25" top="0.75" bottom="0.75" header="0.3" footer="0.3"/>
  <pageSetup scale="71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78393-7E86-4BA9-90DF-694A78D92A1B}">
  <dimension ref="A1:F31"/>
  <sheetViews>
    <sheetView workbookViewId="0">
      <selection activeCell="D21" sqref="D21"/>
    </sheetView>
  </sheetViews>
  <sheetFormatPr defaultRowHeight="14.4" x14ac:dyDescent="0.3"/>
  <cols>
    <col min="1" max="1" width="3" bestFit="1" customWidth="1"/>
    <col min="2" max="2" width="5.33203125" style="1" bestFit="1" customWidth="1"/>
    <col min="3" max="3" width="26.88671875" bestFit="1" customWidth="1"/>
    <col min="4" max="4" width="137" customWidth="1"/>
    <col min="5" max="5" width="4.44140625" style="1" bestFit="1" customWidth="1"/>
    <col min="6" max="6" width="14.109375" style="45" bestFit="1" customWidth="1"/>
  </cols>
  <sheetData>
    <row r="1" spans="1:6" ht="15" thickBot="1" x14ac:dyDescent="0.35"/>
    <row r="2" spans="1:6" ht="15" thickBot="1" x14ac:dyDescent="0.35">
      <c r="A2" s="46"/>
      <c r="B2" s="47"/>
      <c r="C2" s="48"/>
      <c r="D2" s="49" t="s">
        <v>156</v>
      </c>
      <c r="E2" s="47"/>
      <c r="F2" s="50"/>
    </row>
    <row r="3" spans="1:6" x14ac:dyDescent="0.3">
      <c r="E3" s="1" t="s">
        <v>157</v>
      </c>
      <c r="F3" s="45" t="s">
        <v>8</v>
      </c>
    </row>
    <row r="4" spans="1:6" x14ac:dyDescent="0.3">
      <c r="A4" s="4">
        <v>1</v>
      </c>
      <c r="B4" s="7" t="s">
        <v>49</v>
      </c>
      <c r="C4" s="4" t="s">
        <v>109</v>
      </c>
      <c r="D4" s="4" t="s">
        <v>110</v>
      </c>
      <c r="E4" s="41">
        <v>0.21</v>
      </c>
      <c r="F4" s="42">
        <v>15000000</v>
      </c>
    </row>
    <row r="5" spans="1:6" x14ac:dyDescent="0.3">
      <c r="A5" s="4">
        <v>2</v>
      </c>
      <c r="B5" s="7" t="s">
        <v>111</v>
      </c>
      <c r="C5" s="4" t="s">
        <v>112</v>
      </c>
      <c r="D5" s="4" t="s">
        <v>113</v>
      </c>
      <c r="E5" s="41">
        <v>7.0000000000000007E-2</v>
      </c>
      <c r="F5" s="43">
        <v>5000000</v>
      </c>
    </row>
    <row r="6" spans="1:6" x14ac:dyDescent="0.3">
      <c r="A6" s="4">
        <v>3</v>
      </c>
      <c r="B6" s="7" t="s">
        <v>61</v>
      </c>
      <c r="C6" s="4" t="s">
        <v>115</v>
      </c>
      <c r="D6" s="4" t="s">
        <v>116</v>
      </c>
      <c r="E6" s="41">
        <v>7.0000000000000007E-2</v>
      </c>
      <c r="F6" s="43">
        <v>5000000</v>
      </c>
    </row>
    <row r="7" spans="1:6" x14ac:dyDescent="0.3">
      <c r="A7" s="4">
        <v>4</v>
      </c>
      <c r="B7" s="7" t="s">
        <v>118</v>
      </c>
      <c r="C7" s="4" t="s">
        <v>119</v>
      </c>
      <c r="D7" s="4" t="s">
        <v>120</v>
      </c>
      <c r="E7" s="6">
        <v>11</v>
      </c>
      <c r="F7" s="42">
        <v>8000000</v>
      </c>
    </row>
    <row r="8" spans="1:6" x14ac:dyDescent="0.3">
      <c r="A8" s="4">
        <v>5</v>
      </c>
      <c r="B8" s="7" t="s">
        <v>122</v>
      </c>
      <c r="C8" s="4" t="s">
        <v>123</v>
      </c>
      <c r="D8" s="4" t="s">
        <v>124</v>
      </c>
      <c r="E8" s="41">
        <v>0.02</v>
      </c>
      <c r="F8" s="43">
        <v>1200000</v>
      </c>
    </row>
    <row r="9" spans="1:6" x14ac:dyDescent="0.3">
      <c r="A9" s="4">
        <v>6</v>
      </c>
      <c r="B9" s="7" t="s">
        <v>126</v>
      </c>
      <c r="C9" s="4" t="s">
        <v>127</v>
      </c>
      <c r="D9" s="4" t="s">
        <v>128</v>
      </c>
      <c r="E9" s="41">
        <v>0.04</v>
      </c>
      <c r="F9" s="43">
        <v>3000000</v>
      </c>
    </row>
    <row r="10" spans="1:6" x14ac:dyDescent="0.3">
      <c r="A10" s="4">
        <v>7</v>
      </c>
      <c r="B10" s="7" t="s">
        <v>130</v>
      </c>
      <c r="C10" s="4" t="s">
        <v>131</v>
      </c>
      <c r="D10" s="4" t="s">
        <v>132</v>
      </c>
      <c r="E10" s="41">
        <v>0.17</v>
      </c>
      <c r="F10" s="43">
        <v>12000000</v>
      </c>
    </row>
    <row r="11" spans="1:6" x14ac:dyDescent="0.3">
      <c r="A11" s="4">
        <v>8</v>
      </c>
      <c r="B11" s="7" t="s">
        <v>134</v>
      </c>
      <c r="C11" s="4" t="s">
        <v>135</v>
      </c>
      <c r="D11" s="4" t="s">
        <v>136</v>
      </c>
      <c r="E11" s="41">
        <v>0.03</v>
      </c>
      <c r="F11" s="42">
        <v>2000000</v>
      </c>
    </row>
    <row r="12" spans="1:6" x14ac:dyDescent="0.3">
      <c r="A12" s="4">
        <v>9</v>
      </c>
      <c r="B12" s="7" t="s">
        <v>105</v>
      </c>
      <c r="C12" s="4" t="s">
        <v>142</v>
      </c>
      <c r="D12" s="4" t="s">
        <v>143</v>
      </c>
      <c r="E12" s="41">
        <v>0.11</v>
      </c>
      <c r="F12" s="42">
        <v>8000000</v>
      </c>
    </row>
    <row r="13" spans="1:6" x14ac:dyDescent="0.3">
      <c r="A13" s="4">
        <v>10</v>
      </c>
      <c r="B13" s="7" t="s">
        <v>52</v>
      </c>
      <c r="C13" s="4" t="s">
        <v>145</v>
      </c>
      <c r="D13" s="4" t="s">
        <v>146</v>
      </c>
      <c r="E13" s="41">
        <v>7.0000000000000007E-2</v>
      </c>
      <c r="F13" s="42">
        <v>5000000</v>
      </c>
    </row>
    <row r="14" spans="1:6" x14ac:dyDescent="0.3">
      <c r="A14" s="4">
        <v>11</v>
      </c>
      <c r="B14" s="7" t="s">
        <v>147</v>
      </c>
      <c r="C14" s="4" t="s">
        <v>148</v>
      </c>
      <c r="D14" s="4" t="s">
        <v>149</v>
      </c>
      <c r="E14" s="41">
        <v>0.02</v>
      </c>
      <c r="F14" s="42">
        <v>1200000</v>
      </c>
    </row>
    <row r="15" spans="1:6" x14ac:dyDescent="0.3">
      <c r="A15" s="4">
        <v>12</v>
      </c>
      <c r="B15" s="7" t="s">
        <v>150</v>
      </c>
      <c r="C15" s="4" t="s">
        <v>151</v>
      </c>
      <c r="D15" s="4" t="s">
        <v>152</v>
      </c>
      <c r="E15" s="41">
        <v>0.03</v>
      </c>
      <c r="F15" s="42">
        <f>100000*18</f>
        <v>1800000</v>
      </c>
    </row>
    <row r="16" spans="1:6" x14ac:dyDescent="0.3">
      <c r="A16" s="4">
        <v>13</v>
      </c>
      <c r="B16" s="7" t="s">
        <v>153</v>
      </c>
      <c r="C16" s="4" t="s">
        <v>154</v>
      </c>
      <c r="D16" s="4" t="s">
        <v>155</v>
      </c>
      <c r="E16" s="41">
        <v>0.04</v>
      </c>
      <c r="F16" s="42">
        <v>2800000</v>
      </c>
    </row>
    <row r="17" spans="2:6" x14ac:dyDescent="0.3">
      <c r="F17" s="44">
        <f>SUM(F4:F16)</f>
        <v>70000000</v>
      </c>
    </row>
    <row r="18" spans="2:6" x14ac:dyDescent="0.3">
      <c r="B18" s="51" t="s">
        <v>158</v>
      </c>
      <c r="C18" s="51" t="s">
        <v>8</v>
      </c>
    </row>
    <row r="19" spans="2:6" x14ac:dyDescent="0.3">
      <c r="B19" s="7" t="s">
        <v>49</v>
      </c>
      <c r="C19" s="42">
        <f>F4</f>
        <v>15000000</v>
      </c>
    </row>
    <row r="20" spans="2:6" x14ac:dyDescent="0.3">
      <c r="B20" s="7" t="s">
        <v>111</v>
      </c>
      <c r="C20" s="42">
        <f t="shared" ref="C20:C31" si="0">F5</f>
        <v>5000000</v>
      </c>
    </row>
    <row r="21" spans="2:6" x14ac:dyDescent="0.3">
      <c r="B21" s="7" t="s">
        <v>61</v>
      </c>
      <c r="C21" s="42">
        <f t="shared" si="0"/>
        <v>5000000</v>
      </c>
    </row>
    <row r="22" spans="2:6" x14ac:dyDescent="0.3">
      <c r="B22" s="7" t="s">
        <v>118</v>
      </c>
      <c r="C22" s="42">
        <f t="shared" si="0"/>
        <v>8000000</v>
      </c>
    </row>
    <row r="23" spans="2:6" x14ac:dyDescent="0.3">
      <c r="B23" s="7" t="s">
        <v>122</v>
      </c>
      <c r="C23" s="42">
        <f t="shared" si="0"/>
        <v>1200000</v>
      </c>
    </row>
    <row r="24" spans="2:6" x14ac:dyDescent="0.3">
      <c r="B24" s="7" t="s">
        <v>126</v>
      </c>
      <c r="C24" s="42">
        <f t="shared" si="0"/>
        <v>3000000</v>
      </c>
    </row>
    <row r="25" spans="2:6" x14ac:dyDescent="0.3">
      <c r="B25" s="7" t="s">
        <v>130</v>
      </c>
      <c r="C25" s="42">
        <f t="shared" si="0"/>
        <v>12000000</v>
      </c>
    </row>
    <row r="26" spans="2:6" x14ac:dyDescent="0.3">
      <c r="B26" s="7" t="s">
        <v>134</v>
      </c>
      <c r="C26" s="42">
        <f t="shared" si="0"/>
        <v>2000000</v>
      </c>
    </row>
    <row r="27" spans="2:6" x14ac:dyDescent="0.3">
      <c r="B27" s="7" t="s">
        <v>105</v>
      </c>
      <c r="C27" s="42">
        <f t="shared" si="0"/>
        <v>8000000</v>
      </c>
    </row>
    <row r="28" spans="2:6" x14ac:dyDescent="0.3">
      <c r="B28" s="7" t="s">
        <v>52</v>
      </c>
      <c r="C28" s="42">
        <f t="shared" si="0"/>
        <v>5000000</v>
      </c>
    </row>
    <row r="29" spans="2:6" x14ac:dyDescent="0.3">
      <c r="B29" s="7" t="s">
        <v>147</v>
      </c>
      <c r="C29" s="42">
        <f t="shared" si="0"/>
        <v>1200000</v>
      </c>
    </row>
    <row r="30" spans="2:6" x14ac:dyDescent="0.3">
      <c r="B30" s="7" t="s">
        <v>150</v>
      </c>
      <c r="C30" s="42">
        <f t="shared" si="0"/>
        <v>1800000</v>
      </c>
    </row>
    <row r="31" spans="2:6" x14ac:dyDescent="0.3">
      <c r="B31" s="7" t="s">
        <v>153</v>
      </c>
      <c r="C31" s="42">
        <f t="shared" si="0"/>
        <v>2800000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Project Summary</vt:lpstr>
      <vt:lpstr>01-Task List</vt:lpstr>
      <vt:lpstr>02-Weekly Progress Report</vt:lpstr>
      <vt:lpstr>03-Work Order Tracker</vt:lpstr>
      <vt:lpstr>04-Payment Certificate Tracker</vt:lpstr>
      <vt:lpstr>05-PMC Commercials</vt:lpstr>
      <vt:lpstr>06-Petty Cash Tracker</vt:lpstr>
      <vt:lpstr>07-CSA</vt:lpstr>
      <vt:lpstr>Code-Categories</vt:lpstr>
      <vt:lpstr>Baseline Budget</vt:lpstr>
      <vt:lpstr>'01-Task List'!Print_Area</vt:lpstr>
      <vt:lpstr>'02-Weekly Progress Report'!Print_Area</vt:lpstr>
      <vt:lpstr>'03-Work Order Tracker'!Print_Area</vt:lpstr>
      <vt:lpstr>'04-Payment Certificate Tracker'!Print_Area</vt:lpstr>
      <vt:lpstr>'05-PMC Commercials'!Print_Area</vt:lpstr>
      <vt:lpstr>'06-Petty Cash Tracker'!Print_Area</vt:lpstr>
      <vt:lpstr>'07-CSA'!Print_Area</vt:lpstr>
      <vt:lpstr>'Project Summary'!Print_Area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Chinchuwar</dc:creator>
  <cp:keywords/>
  <dc:description/>
  <cp:lastModifiedBy>Amit</cp:lastModifiedBy>
  <cp:revision/>
  <dcterms:created xsi:type="dcterms:W3CDTF">2025-11-26T07:12:37Z</dcterms:created>
  <dcterms:modified xsi:type="dcterms:W3CDTF">2026-03-23T13:26:32Z</dcterms:modified>
  <cp:category/>
  <cp:contentStatus/>
</cp:coreProperties>
</file>
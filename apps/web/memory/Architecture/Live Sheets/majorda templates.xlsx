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OneDrive\Desktop\"/>
    </mc:Choice>
  </mc:AlternateContent>
  <xr:revisionPtr revIDLastSave="0" documentId="13_ncr:1_{46F59455-F67E-48D4-908D-4EC6C1327BAD}" xr6:coauthVersionLast="47" xr6:coauthVersionMax="47" xr10:uidLastSave="{00000000-0000-0000-0000-000000000000}"/>
  <bookViews>
    <workbookView xWindow="-108" yWindow="-108" windowWidth="23256" windowHeight="12456" tabRatio="835" xr2:uid="{86BB195E-01BD-4051-A5B0-58B546BE695C}"/>
  </bookViews>
  <sheets>
    <sheet name="Project Summary" sheetId="7" r:id="rId1"/>
    <sheet name="Weekly Progress Report" sheetId="1" r:id="rId2"/>
    <sheet name="Work Order Tracker" sheetId="2" r:id="rId3"/>
    <sheet name="Payment Certificate Tracker" sheetId="5" r:id="rId4"/>
    <sheet name="Code-Categories" sheetId="9" r:id="rId5"/>
    <sheet name="CSA" sheetId="8" r:id="rId6"/>
    <sheet name="Petty Cash Tracker" sheetId="6" r:id="rId7"/>
    <sheet name="PC" sheetId="3" r:id="rId8"/>
    <sheet name="WO" sheetId="4" r:id="rId9"/>
  </sheets>
  <definedNames>
    <definedName name="_xlnm.Print_Area" localSheetId="3">'Payment Certificate Tracker'!$B$2:$H$54</definedName>
    <definedName name="_xlnm.Print_Area" localSheetId="7">PC!$B$2:$G$51</definedName>
    <definedName name="_xlnm.Print_Area" localSheetId="1">'Weekly Progress Report'!$B$2:$F$64</definedName>
    <definedName name="_xlnm.Print_Area" localSheetId="8">WO!$B$2:$F$116</definedName>
    <definedName name="_xlnm.Print_Area" localSheetId="2">'Work Order Tracker'!$B$2:$H$39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5" l="1"/>
  <c r="G9" i="5"/>
  <c r="G10" i="5"/>
  <c r="G11" i="5"/>
  <c r="K11" i="5" s="1"/>
  <c r="G12" i="5"/>
  <c r="K12" i="5" s="1"/>
  <c r="G13" i="5"/>
  <c r="G14" i="5"/>
  <c r="G15" i="5"/>
  <c r="K15" i="5" s="1"/>
  <c r="G16" i="5"/>
  <c r="G17" i="5"/>
  <c r="G18" i="5"/>
  <c r="G19" i="5"/>
  <c r="K19" i="5" s="1"/>
  <c r="G20" i="5"/>
  <c r="K20" i="5" s="1"/>
  <c r="G7" i="5"/>
  <c r="F8" i="2"/>
  <c r="F9" i="2"/>
  <c r="F10" i="2"/>
  <c r="F11" i="2"/>
  <c r="F12" i="2"/>
  <c r="F13" i="2"/>
  <c r="F14" i="2"/>
  <c r="F15" i="2"/>
  <c r="F16" i="2"/>
  <c r="F17" i="2"/>
  <c r="F18" i="2"/>
  <c r="F19" i="2"/>
  <c r="F20" i="2"/>
  <c r="I7" i="1"/>
  <c r="I20" i="1"/>
  <c r="I19" i="1"/>
  <c r="I18" i="1"/>
  <c r="I17" i="1"/>
  <c r="I16" i="1"/>
  <c r="I15" i="1"/>
  <c r="I14" i="1"/>
  <c r="I13" i="1"/>
  <c r="I12" i="1"/>
  <c r="I11" i="1"/>
  <c r="I10" i="1"/>
  <c r="I9" i="1"/>
  <c r="I8" i="1"/>
  <c r="K8" i="2"/>
  <c r="K9" i="2"/>
  <c r="K10" i="2"/>
  <c r="K11" i="2"/>
  <c r="K12" i="2"/>
  <c r="K13" i="2"/>
  <c r="K14" i="2"/>
  <c r="K15" i="2"/>
  <c r="K16" i="2"/>
  <c r="K17" i="2"/>
  <c r="K18" i="2"/>
  <c r="K19" i="2"/>
  <c r="K20" i="2"/>
  <c r="K7" i="2"/>
  <c r="K10" i="5"/>
  <c r="K13" i="5"/>
  <c r="K14" i="5"/>
  <c r="K16" i="5"/>
  <c r="K17" i="5"/>
  <c r="K18" i="5"/>
  <c r="K7" i="5"/>
  <c r="F7" i="2"/>
  <c r="E39" i="2"/>
  <c r="E54" i="5"/>
  <c r="G44" i="3"/>
  <c r="G45" i="3" s="1"/>
  <c r="D116" i="4"/>
  <c r="G54" i="5" l="1"/>
  <c r="K8" i="5"/>
  <c r="E8" i="7" a="1"/>
  <c r="E8" i="7" s="1"/>
  <c r="K9" i="5"/>
  <c r="F8" i="7" s="1" a="1"/>
  <c r="F8" i="7" s="1"/>
  <c r="F39" i="2"/>
  <c r="D8" i="7" a="1"/>
  <c r="D8" i="7" s="1"/>
  <c r="G46" i="3"/>
  <c r="G47" i="3" l="1"/>
  <c r="G48" i="3"/>
  <c r="G49"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<sst xmlns="http://schemas.openxmlformats.org/spreadsheetml/2006/main" count="329" uniqueCount="159">
  <si>
    <t>Vendor</t>
  </si>
  <si>
    <t>% Completed</t>
  </si>
  <si>
    <t>WO Value</t>
  </si>
  <si>
    <t>Comments</t>
  </si>
  <si>
    <t>Retention Value</t>
  </si>
  <si>
    <t>WO Refn</t>
  </si>
  <si>
    <t>PC Refn</t>
  </si>
  <si>
    <t>PC Value</t>
  </si>
  <si>
    <t>Sr. No.</t>
  </si>
  <si>
    <t>Scope of Work</t>
  </si>
  <si>
    <t>Qty</t>
  </si>
  <si>
    <t>Total</t>
  </si>
  <si>
    <t>Unit</t>
  </si>
  <si>
    <t>Rate</t>
  </si>
  <si>
    <t>Axion Connect Infosolutions Pvt Ltd</t>
  </si>
  <si>
    <t>DSR Elite, No 109</t>
  </si>
  <si>
    <t>Mahadevpura - Bangaluru</t>
  </si>
  <si>
    <t>Karnataka - 560048</t>
  </si>
  <si>
    <t>To,</t>
  </si>
  <si>
    <t>Shipping to</t>
  </si>
  <si>
    <t>Plot No- 51/16, Beach Road</t>
  </si>
  <si>
    <t>Panchecho Waddo, Betalbatim</t>
  </si>
  <si>
    <t>Majorda - Goa, 403713</t>
  </si>
  <si>
    <t>WORK ORDER</t>
  </si>
  <si>
    <t>WO Refn:</t>
  </si>
  <si>
    <t>WO Date:</t>
  </si>
  <si>
    <t>Sr No.</t>
  </si>
  <si>
    <t>Description</t>
  </si>
  <si>
    <t>Quantity</t>
  </si>
  <si>
    <t>Discount:</t>
  </si>
  <si>
    <t>Total :</t>
  </si>
  <si>
    <t>SGST :</t>
  </si>
  <si>
    <t>CGST :</t>
  </si>
  <si>
    <t>Subtotal :</t>
  </si>
  <si>
    <t>Timeline</t>
  </si>
  <si>
    <t>Start Date:</t>
  </si>
  <si>
    <t>End Date:</t>
  </si>
  <si>
    <t>General Terms and Condition:</t>
  </si>
  <si>
    <t>The Contractor shall ensure all labour, technicians and supervisors possess valid police verification documents, health cards and mandatory statutory clearances, available at all times during their engagement.</t>
  </si>
  <si>
    <t>Contractor personnel shall not share site photos, drawings, videos or project details on social media or externally without written approval from the Company/PMC.</t>
  </si>
  <si>
    <t>The Contractor is fully responsible for safety of their workforce and must provide PPE such as safety shoes, helmets, belts, gloves and goggles.</t>
  </si>
  <si>
    <t>Any accident, injury or fatality shall be handled entirely by the Contractor including medical treatment, compensation and legal liability.</t>
  </si>
  <si>
    <t>Waste must be segregated, disposed safely and without burning or chemical dumping. Dust control and tidy operations must be maintained at all times.</t>
  </si>
  <si>
    <t>Contractor shall maintain daily site cleanliness. All debris or waste shall be stored at a designated area and cleared regularly to prevent obstruction to other works or safety hazards.</t>
  </si>
  <si>
    <t>Works must be executed strictly as per approved drawings, materials and specifications within stipulated timelines.</t>
  </si>
  <si>
    <t>Contractor is responsible for safe storage and protection of all materials (client-supplied or contractor-supplied). Any losses or damages due to improper handling will be recovered from the Contractor.</t>
  </si>
  <si>
    <t>All work shall follow approved site working hours. High-noise or disruptive tasks shall require 24-hour prior intimation to PMC.</t>
  </si>
  <si>
    <t>All PMC observations and instructions will be issued only to the Contractor’s designated site supervisor. No direct instruction will be given to labour.</t>
  </si>
  <si>
    <t>Any snags or defects identified by PMC must be rectified within the stipulated period. Failure to do so will result in corrective work being executed through alternate agencies at Contractor’s cost.</t>
  </si>
  <si>
    <t>Any increase or decrease in quantities or scope must be informed to PMC immediately. Revised Work Orders or Change Orders will be issued accordingly. Work executed without prior written approval will not be considered.</t>
  </si>
  <si>
    <t>Payment Certificates will be prepared by PMC based on joint measurements. Contractor must provide complete measurement sheets and ensure supervisor presence during inspections.</t>
  </si>
  <si>
    <t>All payments shall be released strictly against PMC-approved and signed Payment Certificates.</t>
  </si>
  <si>
    <t>Payment Certificates shall be prepared between the 25th and 30th of each month. Submissions outside this window will move to the next cycle.</t>
  </si>
  <si>
    <t>A 5% retention will be deducted from all payments. Retention will be released only after full completion of work and after a minimum three-month period post-monsoon, subject to no defects.</t>
  </si>
  <si>
    <t>In case of breach of any clause or non-performance, the Company reserves the right to execute the works through alternate agencies. Any cost or time impact arising from such action will be fully recovered from the Contractor’s payments or retention.</t>
  </si>
  <si>
    <t>Third Angle Concepts (PMC)</t>
  </si>
  <si>
    <t>Contact:</t>
  </si>
  <si>
    <t>Mobile:</t>
  </si>
  <si>
    <t>Grand Total :</t>
  </si>
  <si>
    <t>Warranty</t>
  </si>
  <si>
    <t>Product :</t>
  </si>
  <si>
    <t>Workmenship :</t>
  </si>
  <si>
    <t>GST No :</t>
  </si>
  <si>
    <t>PAYMENT CERTIFICATE</t>
  </si>
  <si>
    <t>PC Refn:</t>
  </si>
  <si>
    <t>PC Date:</t>
  </si>
  <si>
    <t>PMC Comments</t>
  </si>
  <si>
    <t>Contractor</t>
  </si>
  <si>
    <t>Mr. ABC</t>
  </si>
  <si>
    <t>Retention 5% :</t>
  </si>
  <si>
    <t>Sub Total :</t>
  </si>
  <si>
    <t>Accepted and Agreed</t>
  </si>
  <si>
    <t>Notes &amp; Payment Terms</t>
  </si>
  <si>
    <t>TAC_WO_025_001</t>
  </si>
  <si>
    <t>TAC_PC_25_001</t>
  </si>
  <si>
    <t>TAC_WO_25_001</t>
  </si>
  <si>
    <t>PC Date</t>
  </si>
  <si>
    <t>Payment Date</t>
  </si>
  <si>
    <t>Total:</t>
  </si>
  <si>
    <t>Majorda Villa</t>
  </si>
  <si>
    <t>Client :</t>
  </si>
  <si>
    <t>Mr. Sanjay Rao</t>
  </si>
  <si>
    <t>ABC</t>
  </si>
  <si>
    <t>Payment Value</t>
  </si>
  <si>
    <t>Project Name :</t>
  </si>
  <si>
    <t>Date :</t>
  </si>
  <si>
    <t>Date</t>
  </si>
  <si>
    <t>Bill / Invoice</t>
  </si>
  <si>
    <t>5% Retention applicable on all PC (Ref 16)</t>
  </si>
  <si>
    <t>Category</t>
  </si>
  <si>
    <t>CIV</t>
  </si>
  <si>
    <t>Civil Works</t>
  </si>
  <si>
    <t>Inclusion</t>
  </si>
  <si>
    <t>Exclusion to CSA (Client Supplied Appliances)</t>
  </si>
  <si>
    <t>PLB</t>
  </si>
  <si>
    <t>Plumbing Works</t>
  </si>
  <si>
    <t>ELC</t>
  </si>
  <si>
    <t>Electrical Works</t>
  </si>
  <si>
    <t>HVC</t>
  </si>
  <si>
    <t>HVAC / Air Conditioning</t>
  </si>
  <si>
    <t>FIN</t>
  </si>
  <si>
    <t>Finishing Works</t>
  </si>
  <si>
    <t>CRP</t>
  </si>
  <si>
    <t>Carpentry / Fixed</t>
  </si>
  <si>
    <t>LAN</t>
  </si>
  <si>
    <t>Landscapping &amp; External Works</t>
  </si>
  <si>
    <t>EQP</t>
  </si>
  <si>
    <t>Equipments &amp; Special System</t>
  </si>
  <si>
    <t>PRF</t>
  </si>
  <si>
    <t>Professional Fees</t>
  </si>
  <si>
    <t>STC</t>
  </si>
  <si>
    <t>Approvals &amp; Statutory Charges</t>
  </si>
  <si>
    <t>OVH</t>
  </si>
  <si>
    <t>Site Overheads / Running Expenses</t>
  </si>
  <si>
    <t>CSA</t>
  </si>
  <si>
    <t>Client Supplied Assets</t>
  </si>
  <si>
    <t>CON</t>
  </si>
  <si>
    <t>Contingency</t>
  </si>
  <si>
    <t>Excavation, RCC, PCC, masonry, plaster, waterproofing, basic structure.</t>
  </si>
  <si>
    <t>Piping, valves, traps, drainage, pump-room piping.</t>
  </si>
  <si>
    <t>Sanitaryware, faucets, shower sets, pumps.</t>
  </si>
  <si>
    <t>Conduits, wiring, DBs, breakers, earthing</t>
  </si>
  <si>
    <t>Lights, fans, switches, chandeliers.</t>
  </si>
  <si>
    <t>Copper piping, drain lines, insulation, installation.</t>
  </si>
  <si>
    <t>AC indoor/outdoor units.</t>
  </si>
  <si>
    <t>Wardrobes, kitchen, vanities, fixed furniture.</t>
  </si>
  <si>
    <t>Loose furniture (sofas, beds, dining).</t>
  </si>
  <si>
    <t>Plants, turf, irrigation, pavers, decks.</t>
  </si>
  <si>
    <t>Garden lights, outdoor furniture.</t>
  </si>
  <si>
    <t>Solar, filtration, STP, CCTV backbone.</t>
  </si>
  <si>
    <t>CCTV cameras, smart locks, automation gadgets.</t>
  </si>
  <si>
    <t>Fixtures, lights, appliances, loose furniture, décor.</t>
  </si>
  <si>
    <t>Buffer for variations &amp; unforeseen items.</t>
  </si>
  <si>
    <t>CODE</t>
  </si>
  <si>
    <t>Tile, Stone, Pavers, Roofing Tile, Decorative lights, mirrors, loose décor.</t>
  </si>
  <si>
    <t>Doors, Windows, Glazing, Flooring, Tiling, Painting, False ceiling.</t>
  </si>
  <si>
    <t>SWP</t>
  </si>
  <si>
    <t>Swimming Pool Works</t>
  </si>
  <si>
    <t>Waterproofing, Tiling, Pool Light Fixing, Complete Pool Plumbing &amp; Electricals, Pumps, Heaters</t>
  </si>
  <si>
    <t>Loose Furnitures, Special Lights</t>
  </si>
  <si>
    <t>Govt/Panchayat Permissions, licenses, NOCs, utility connections.</t>
  </si>
  <si>
    <t>Drinking Water, Water Tankers, Chairs, stationery, extension boards, Health compliant activities</t>
  </si>
  <si>
    <t>Architect, Engineers, Consultants, PMC, CA, Security Guards.</t>
  </si>
  <si>
    <t>Received Date</t>
  </si>
  <si>
    <t>CODE :</t>
  </si>
  <si>
    <t>12 Months</t>
  </si>
  <si>
    <t>Standard workmanship warranty of 12 Months from the date of Handover applicable to the Contractor’s. Any failure within the defects liability period shall be rectified without cost.</t>
  </si>
  <si>
    <t>PROJECT BUDGET TRACKER</t>
  </si>
  <si>
    <t>PROJECT CASHFLOW TRACKER</t>
  </si>
  <si>
    <t>PROJECT PROGRESS REPORT</t>
  </si>
  <si>
    <t>Average Value</t>
  </si>
  <si>
    <t>Total Value</t>
  </si>
  <si>
    <t>Start Date</t>
  </si>
  <si>
    <t>End Date</t>
  </si>
  <si>
    <t>Deadline</t>
  </si>
  <si>
    <t>Difference</t>
  </si>
  <si>
    <t>Mr. Amit Chinchuwar</t>
  </si>
  <si>
    <t>ISSUED BY:</t>
  </si>
  <si>
    <t>%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</si>
</sst>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Calibri"/>
      <family val="2"/>
      <scheme val="minor"/>
    </font>
    <font>
      <b/>
      <sz val="11"/>
      <color theme="1"/>
      <name val="Calibri"/>
      <family val="2"/>
      <scheme val="minor"/>
    </font>
    <font>
      <b/>
      <sz val="18"/>
      <color theme="1"/>
      <name val="Calibri"/>
      <family val="2"/>
      <scheme val="minor"/>
    </font>
    <font>
      <sz val="11"/>
      <color theme="1"/>
      <name val="Calibri"/>
      <family val="2"/>
      <scheme val="minor"/>
    </font>
    <font>
      <i/>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88">
    <xf numFmtId="0" fontId="0" fillId="0" borderId="0" xfId="0"/>
    <xf numFmtId="0" fontId="1" fillId="0" borderId="0" xfId="0" applyFont="1"/>
    <xf numFmtId="0" fontId="0" fillId="0" borderId="0" xfId="0" applyAlignment="1">
      <alignment horizontal="center"/>
    </xf>
    <xf numFmtId="0" fontId="1" fillId="2" borderId="1" xfId="0" applyFont="1" applyFill="1" applyBorder="1"/>
    <xf numFmtId="0" fontId="1" fillId="2" borderId="1" xfId="0" applyFont="1" applyFill="1" applyBorder="1" applyAlignment="1">
      <alignment horizontal="center" vertical="center"/>
    </xf>
    <xf numFmtId="0" fontId="0" fillId="0" borderId="1" xfId="0" applyBorder="1"/>
    <xf numFmtId="0" fontId="1" fillId="2" borderId="1" xfId="0" applyFont="1" applyFill="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9" xfId="0" applyBorder="1"/>
    <xf numFmtId="0" fontId="0" fillId="0" borderId="11" xfId="0" applyBorder="1"/>
    <xf numFmtId="0" fontId="0" fillId="0" borderId="7" xfId="0" applyBorder="1" applyAlignment="1">
      <alignment horizontal="left"/>
    </xf>
    <xf numFmtId="0" fontId="0" fillId="0" borderId="8" xfId="0" applyBorder="1" applyAlignment="1">
      <alignment horizontal="left"/>
    </xf>
    <xf numFmtId="0" fontId="0" fillId="0" borderId="11" xfId="0" applyBorder="1" applyAlignment="1">
      <alignment horizontal="left"/>
    </xf>
    <xf numFmtId="0" fontId="0" fillId="0" borderId="1" xfId="0" applyBorder="1" applyAlignment="1">
      <alignment horizontal="right"/>
    </xf>
    <xf numFmtId="0" fontId="0" fillId="0" borderId="0" xfId="0" applyAlignment="1">
      <alignment horizontal="left" wrapText="1"/>
    </xf>
    <xf numFmtId="0" fontId="1" fillId="0" borderId="1" xfId="0" applyFont="1" applyBorder="1" applyAlignment="1">
      <alignment horizontal="center"/>
    </xf>
    <xf numFmtId="0" fontId="0" fillId="0" borderId="9" xfId="0" applyBorder="1" applyAlignment="1">
      <alignment horizontal="right"/>
    </xf>
    <xf numFmtId="0" fontId="0" fillId="0" borderId="1" xfId="0" applyBorder="1" applyAlignment="1">
      <alignment horizontal="right"/>
    </xf>
    <xf numFmtId="0" fontId="1" fillId="0" borderId="1" xfId="0" applyFont="1" applyBorder="1" applyAlignment="1">
      <alignment horizontal="right"/>
    </xf>
    <xf numFmtId="0" fontId="1" fillId="2"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1" fillId="2" borderId="12" xfId="0" applyFont="1" applyFill="1" applyBorder="1" applyAlignment="1">
      <alignment horizontal="center"/>
    </xf>
    <xf numFmtId="0" fontId="1" fillId="2" borderId="14" xfId="0" applyFont="1" applyFill="1" applyBorder="1" applyAlignment="1">
      <alignment horizontal="center"/>
    </xf>
    <xf numFmtId="0" fontId="1" fillId="2" borderId="13" xfId="0" applyFont="1" applyFill="1"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2" fillId="0" borderId="5" xfId="0"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 fillId="0" borderId="0" xfId="0" applyFont="1" applyAlignment="1">
      <alignment horizont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1" fillId="0" borderId="1" xfId="0" applyFont="1" applyBorder="1" applyAlignment="1">
      <alignment horizontal="center"/>
    </xf>
    <xf numFmtId="0" fontId="0" fillId="0" borderId="7" xfId="0" applyBorder="1" applyAlignment="1">
      <alignment horizontal="left"/>
    </xf>
    <xf numFmtId="0" fontId="0" fillId="0" borderId="8" xfId="0" applyBorder="1" applyAlignment="1">
      <alignment horizontal="left"/>
    </xf>
    <xf numFmtId="0" fontId="0" fillId="0" borderId="0" xfId="0" applyAlignment="1">
      <alignment horizontal="left" wrapText="1"/>
    </xf>
    <xf numFmtId="0" fontId="0" fillId="0" borderId="0" xfId="0" applyAlignment="1">
      <alignment horizontal="left"/>
    </xf>
    <xf numFmtId="0" fontId="1" fillId="0" borderId="5" xfId="0" applyFont="1" applyBorder="1" applyAlignment="1">
      <alignment horizontal="center"/>
    </xf>
    <xf numFmtId="0" fontId="1" fillId="0" borderId="2" xfId="0" applyFont="1" applyBorder="1" applyAlignment="1">
      <alignment horizontal="center"/>
    </xf>
    <xf numFmtId="0" fontId="0" fillId="0" borderId="5"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1" fillId="2" borderId="3" xfId="0" applyFont="1" applyFill="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2" borderId="5" xfId="0" applyFont="1" applyFill="1" applyBorder="1" applyAlignment="1">
      <alignment horizontal="left"/>
    </xf>
    <xf numFmtId="0" fontId="1" fillId="2" borderId="6" xfId="0" applyFont="1" applyFill="1" applyBorder="1" applyAlignment="1">
      <alignment horizontal="left"/>
    </xf>
    <xf numFmtId="0" fontId="0" fillId="0" borderId="0" xfId="0" applyAlignment="1"/>
    <xf numFmtId="0" fontId="4" fillId="0" borderId="0" xfId="0" applyFont="1" applyAlignment="1">
      <alignment horizontal="center"/>
    </xf>
    <xf numFmtId="0" fontId="0" fillId="0" borderId="12" xfId="0" applyBorder="1" applyAlignment="1">
      <alignment horizontal="center"/>
    </xf>
    <xf numFmtId="0" fontId="0" fillId="0" borderId="13" xfId="0" applyBorder="1" applyAlignment="1">
      <alignment horizontal="center"/>
    </xf>
    <xf numFmtId="43" fontId="0" fillId="0" borderId="1" xfId="1" applyFont="1" applyBorder="1"/>
    <xf numFmtId="43" fontId="0" fillId="0" borderId="1" xfId="1" applyFont="1" applyBorder="1" applyAlignment="1">
      <alignment horizontal="center"/>
    </xf>
    <xf numFmtId="43" fontId="0" fillId="0" borderId="0" xfId="1" applyFont="1"/>
    <xf numFmtId="43" fontId="1" fillId="2" borderId="1" xfId="1" applyFont="1" applyFill="1" applyBorder="1"/>
    <xf numFmtId="43" fontId="1" fillId="2" borderId="4" xfId="1" applyFont="1" applyFill="1" applyBorder="1"/>
    <xf numFmtId="0" fontId="1" fillId="2" borderId="1" xfId="0" applyFont="1" applyFill="1" applyBorder="1" applyAlignment="1">
      <alignment horizontal="right"/>
    </xf>
    <xf numFmtId="0" fontId="0" fillId="0" borderId="13" xfId="0" applyBorder="1" applyAlignment="1">
      <alignment horizontal="right"/>
    </xf>
    <xf numFmtId="9" fontId="0" fillId="0" borderId="1" xfId="2" applyFont="1" applyBorder="1"/>
    <xf numFmtId="43" fontId="5" fillId="0" borderId="15" xfId="1" applyFont="1" applyBorder="1" applyAlignment="1">
      <alignment horizontal="center" vertical="center"/>
    </xf>
    <xf numFmtId="43" fontId="5" fillId="0" borderId="16" xfId="1" applyFont="1" applyBorder="1" applyAlignment="1">
      <alignment horizontal="center" vertical="center"/>
    </xf>
    <xf numFmtId="43" fontId="5" fillId="0" borderId="17" xfId="1" applyFont="1" applyBorder="1" applyAlignment="1">
      <alignment horizontal="center" vertical="center"/>
    </xf>
    <xf numFmtId="43" fontId="5" fillId="0" borderId="18" xfId="1" applyFont="1" applyBorder="1" applyAlignment="1">
      <alignment horizontal="center" vertical="center"/>
    </xf>
    <xf numFmtId="43" fontId="5" fillId="0" borderId="19" xfId="1" applyFont="1" applyBorder="1" applyAlignment="1">
      <alignment horizontal="center" vertical="center"/>
    </xf>
    <xf numFmtId="43" fontId="5" fillId="0" borderId="20" xfId="1" applyFont="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0" fillId="0" borderId="1" xfId="0" applyFont="1" applyBorder="1" applyAlignment="1">
      <alignment horizontal="center" vertical="center"/>
    </xf>
    <xf numFmtId="43" fontId="1" fillId="2" borderId="1" xfId="1" applyFont="1" applyFill="1" applyBorder="1" applyAlignment="1">
      <alignment horizontal="center" vertical="center"/>
    </xf>
    <xf numFmtId="43" fontId="0" fillId="0" borderId="1" xfId="1" applyFont="1" applyBorder="1" applyAlignment="1">
      <alignment horizontal="center" vertical="center"/>
    </xf>
    <xf numFmtId="43" fontId="1" fillId="2" borderId="1" xfId="1" applyFont="1" applyFill="1" applyBorder="1" applyAlignment="1">
      <alignment horizontal="center"/>
    </xf>
    <xf numFmtId="43" fontId="1" fillId="2" borderId="0" xfId="1" applyFont="1" applyFill="1" applyBorder="1"/>
    <xf numFmtId="0" fontId="1" fillId="0" borderId="4" xfId="0" applyFont="1" applyBorder="1" applyAlignment="1">
      <alignment horizontal="left"/>
    </xf>
    <xf numFmtId="9" fontId="0" fillId="0" borderId="0" xfId="2" applyNumberFormat="1" applyFont="1"/>
    <xf numFmtId="9" fontId="1" fillId="2" borderId="1" xfId="2" applyNumberFormat="1" applyFont="1" applyFill="1" applyBorder="1" applyAlignment="1">
      <alignment horizontal="center" vertical="center"/>
    </xf>
    <xf numFmtId="9" fontId="0" fillId="0" borderId="1" xfId="2" applyNumberFormat="1" applyFont="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PROJECT</a:t>
            </a:r>
            <a:r>
              <a:rPr lang="en-IN" baseline="0"/>
              <a:t> SUMMARY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144247594050743"/>
          <c:y val="0.2088079615048119"/>
          <c:w val="0.78411307961504817"/>
          <c:h val="0.34386009040536597"/>
        </c:manualLayout>
      </c:layout>
      <c:barChart>
        <c:barDir val="col"/>
        <c:grouping val="clustered"/>
        <c:varyColors val="0"/>
        <c:ser>
          <c:idx val="0"/>
          <c:order val="0"/>
          <c:tx>
            <c:strRef>
              <c:f>'Project Summary'!$D$7</c:f>
              <c:strCache>
                <c:ptCount val="1"/>
                <c:pt idx="0">
                  <c:v> WO Value </c:v>
                </c:pt>
              </c:strCache>
            </c:strRef>
          </c:tx>
          <c:spPr>
            <a:solidFill>
              <a:schemeClr val="accent1">
                <a:lumMod val="60000"/>
                <a:lumOff val="40000"/>
              </a:schemeClr>
            </a:solidFill>
            <a:ln>
              <a:noFill/>
            </a:ln>
            <a:effectLst/>
          </c:spPr>
          <c:invertIfNegative val="0"/>
          <c:cat>
            <c:strRef>
              <c:f>'Project Summary'!$B$8:$B$21</c:f>
              <c:strCache>
                <c:ptCount val="14"/>
                <c:pt idx="0">
                  <c:v>CIV</c:v>
                </c:pt>
                <c:pt idx="1">
                  <c:v>PLB</c:v>
                </c:pt>
                <c:pt idx="2">
                  <c:v>ELC</c:v>
                </c:pt>
                <c:pt idx="3">
                  <c:v>SWP</c:v>
                </c:pt>
                <c:pt idx="4">
                  <c:v>HVC</c:v>
                </c:pt>
                <c:pt idx="5">
                  <c:v>FIN</c:v>
                </c:pt>
                <c:pt idx="6">
                  <c:v>CRP</c:v>
                </c:pt>
                <c:pt idx="7">
                  <c:v>LAN</c:v>
                </c:pt>
                <c:pt idx="8">
                  <c:v>EQP</c:v>
                </c:pt>
                <c:pt idx="9">
                  <c:v>PRF</c:v>
                </c:pt>
                <c:pt idx="10">
                  <c:v>STC</c:v>
                </c:pt>
                <c:pt idx="11">
                  <c:v>OVH</c:v>
                </c:pt>
                <c:pt idx="12">
                  <c:v>CSA</c:v>
                </c:pt>
                <c:pt idx="13">
                  <c:v>CON</c:v>
                </c:pt>
              </c:strCache>
            </c:strRef>
          </c:cat>
          <c:val>
            <c:numRef>
              <c:f>'Project Summary'!$D$8:$D$21</c:f>
              <c:numCache>
                <c:formatCode>_(* #,##0.00_);_(* \(#,##0.00\);_(* "-"??_);_(@_)</c:formatCode>
                <c:ptCount val="14"/>
                <c:pt idx="0">
                  <c:v>8000000</c:v>
                </c:pt>
                <c:pt idx="1">
                  <c:v>3000000</c:v>
                </c:pt>
                <c:pt idx="2">
                  <c:v>3000000</c:v>
                </c:pt>
                <c:pt idx="3">
                  <c:v>1000000</c:v>
                </c:pt>
                <c:pt idx="4">
                  <c:v>850000</c:v>
                </c:pt>
                <c:pt idx="5">
                  <c:v>6000000</c:v>
                </c:pt>
                <c:pt idx="6">
                  <c:v>1500000</c:v>
                </c:pt>
                <c:pt idx="7">
                  <c:v>600000</c:v>
                </c:pt>
                <c:pt idx="8">
                  <c:v>6000000</c:v>
                </c:pt>
                <c:pt idx="9">
                  <c:v>6000000</c:v>
                </c:pt>
                <c:pt idx="10">
                  <c:v>8000000</c:v>
                </c:pt>
                <c:pt idx="11">
                  <c:v>5000000</c:v>
                </c:pt>
                <c:pt idx="12">
                  <c:v>8000000</c:v>
                </c:pt>
                <c:pt idx="13">
                  <c:v>2500000</c:v>
                </c:pt>
              </c:numCache>
            </c:numRef>
          </c:val>
          <c:extLst>
            <c:ext xmlns:c16="http://schemas.microsoft.com/office/drawing/2014/chart" uri="{C3380CC4-5D6E-409C-BE32-E72D297353CC}">
              <c16:uniqueId val="{00000000-46B5-4E77-B0AE-987D91B28059}"/>
            </c:ext>
          </c:extLst>
        </c:ser>
        <c:ser>
          <c:idx val="2"/>
          <c:order val="2"/>
          <c:tx>
            <c:strRef>
              <c:f>'Project Summary'!$F$7</c:f>
              <c:strCache>
                <c:ptCount val="1"/>
                <c:pt idx="0">
                  <c:v> Payment Value </c:v>
                </c:pt>
              </c:strCache>
            </c:strRef>
          </c:tx>
          <c:spPr>
            <a:solidFill>
              <a:schemeClr val="accent6">
                <a:lumMod val="60000"/>
                <a:lumOff val="40000"/>
              </a:schemeClr>
            </a:solidFill>
            <a:ln>
              <a:noFill/>
            </a:ln>
            <a:effectLst/>
          </c:spPr>
          <c:invertIfNegative val="0"/>
          <c:cat>
            <c:strRef>
              <c:f>'Project Summary'!$B$8:$B$21</c:f>
              <c:strCache>
                <c:ptCount val="14"/>
                <c:pt idx="0">
                  <c:v>CIV</c:v>
                </c:pt>
                <c:pt idx="1">
                  <c:v>PLB</c:v>
                </c:pt>
                <c:pt idx="2">
                  <c:v>ELC</c:v>
                </c:pt>
                <c:pt idx="3">
                  <c:v>SWP</c:v>
                </c:pt>
                <c:pt idx="4">
                  <c:v>HVC</c:v>
                </c:pt>
                <c:pt idx="5">
                  <c:v>FIN</c:v>
                </c:pt>
                <c:pt idx="6">
                  <c:v>CRP</c:v>
                </c:pt>
                <c:pt idx="7">
                  <c:v>LAN</c:v>
                </c:pt>
                <c:pt idx="8">
                  <c:v>EQP</c:v>
                </c:pt>
                <c:pt idx="9">
                  <c:v>PRF</c:v>
                </c:pt>
                <c:pt idx="10">
                  <c:v>STC</c:v>
                </c:pt>
                <c:pt idx="11">
                  <c:v>OVH</c:v>
                </c:pt>
                <c:pt idx="12">
                  <c:v>CSA</c:v>
                </c:pt>
                <c:pt idx="13">
                  <c:v>CON</c:v>
                </c:pt>
              </c:strCache>
            </c:strRef>
          </c:cat>
          <c:val>
            <c:numRef>
              <c:f>'Project Summary'!$F$8:$F$21</c:f>
              <c:numCache>
                <c:formatCode>_(* #,##0.00_);_(* \(#,##0.00\);_(* "-"??_);_(@_)</c:formatCode>
                <c:ptCount val="14"/>
                <c:pt idx="0">
                  <c:v>200000</c:v>
                </c:pt>
                <c:pt idx="1">
                  <c:v>200000</c:v>
                </c:pt>
                <c:pt idx="2">
                  <c:v>200000</c:v>
                </c:pt>
                <c:pt idx="3">
                  <c:v>200000</c:v>
                </c:pt>
                <c:pt idx="4">
                  <c:v>200000</c:v>
                </c:pt>
                <c:pt idx="5">
                  <c:v>200000</c:v>
                </c:pt>
                <c:pt idx="6">
                  <c:v>200000</c:v>
                </c:pt>
                <c:pt idx="7">
                  <c:v>200000</c:v>
                </c:pt>
                <c:pt idx="8">
                  <c:v>200000</c:v>
                </c:pt>
                <c:pt idx="9">
                  <c:v>200000</c:v>
                </c:pt>
                <c:pt idx="10">
                  <c:v>200000</c:v>
                </c:pt>
                <c:pt idx="11">
                  <c:v>200000</c:v>
                </c:pt>
                <c:pt idx="12">
                  <c:v>200000</c:v>
                </c:pt>
                <c:pt idx="13">
                  <c:v>200000</c:v>
                </c:pt>
              </c:numCache>
            </c:numRef>
          </c:val>
          <c:extLst>
            <c:ext xmlns:c16="http://schemas.microsoft.com/office/drawing/2014/chart" uri="{C3380CC4-5D6E-409C-BE32-E72D297353CC}">
              <c16:uniqueId val="{00000002-46B5-4E77-B0AE-987D91B28059}"/>
            </c:ext>
          </c:extLst>
        </c:ser>
        <c:dLbls>
          <c:showLegendKey val="0"/>
          <c:showVal val="0"/>
          <c:showCatName val="0"/>
          <c:showSerName val="0"/>
          <c:showPercent val="0"/>
          <c:showBubbleSize val="0"/>
        </c:dLbls>
        <c:gapWidth val="219"/>
        <c:axId val="101881759"/>
        <c:axId val="101896639"/>
      </c:barChart>
      <c:lineChart>
        <c:grouping val="standard"/>
        <c:varyColors val="0"/>
        <c:ser>
          <c:idx val="1"/>
          <c:order val="1"/>
          <c:tx>
            <c:strRef>
              <c:f>'Project Summary'!$E$7</c:f>
              <c:strCache>
                <c:ptCount val="1"/>
                <c:pt idx="0">
                  <c:v>% Progress</c:v>
                </c:pt>
              </c:strCache>
            </c:strRef>
          </c:tx>
          <c:spPr>
            <a:ln w="12700" cap="rnd">
              <a:solidFill>
                <a:srgbClr val="FF0000"/>
              </a:solidFill>
              <a:round/>
            </a:ln>
            <a:effectLst/>
          </c:spPr>
          <c:marker>
            <c:symbol val="circle"/>
            <c:size val="5"/>
            <c:spPr>
              <a:solidFill>
                <a:schemeClr val="accent2"/>
              </a:solidFill>
              <a:ln w="9525">
                <a:solidFill>
                  <a:schemeClr val="accent2"/>
                </a:solidFill>
              </a:ln>
              <a:effectLst/>
            </c:spPr>
          </c:marker>
          <c:cat>
            <c:strRef>
              <c:f>'Project Summary'!$B$8:$B$21</c:f>
              <c:strCache>
                <c:ptCount val="14"/>
                <c:pt idx="0">
                  <c:v>CIV</c:v>
                </c:pt>
                <c:pt idx="1">
                  <c:v>PLB</c:v>
                </c:pt>
                <c:pt idx="2">
                  <c:v>ELC</c:v>
                </c:pt>
                <c:pt idx="3">
                  <c:v>SWP</c:v>
                </c:pt>
                <c:pt idx="4">
                  <c:v>HVC</c:v>
                </c:pt>
                <c:pt idx="5">
                  <c:v>FIN</c:v>
                </c:pt>
                <c:pt idx="6">
                  <c:v>CRP</c:v>
                </c:pt>
                <c:pt idx="7">
                  <c:v>LAN</c:v>
                </c:pt>
                <c:pt idx="8">
                  <c:v>EQP</c:v>
                </c:pt>
                <c:pt idx="9">
                  <c:v>PRF</c:v>
                </c:pt>
                <c:pt idx="10">
                  <c:v>STC</c:v>
                </c:pt>
                <c:pt idx="11">
                  <c:v>OVH</c:v>
                </c:pt>
                <c:pt idx="12">
                  <c:v>CSA</c:v>
                </c:pt>
                <c:pt idx="13">
                  <c:v>CON</c:v>
                </c:pt>
              </c:strCache>
            </c:strRef>
          </c:cat>
          <c:val>
            <c:numRef>
              <c:f>'Project Summary'!$E$8:$E$21</c:f>
              <c:numCache>
                <c:formatCode>0%</c:formatCode>
                <c:ptCount val="14"/>
                <c:pt idx="0">
                  <c:v>0.2</c:v>
                </c:pt>
                <c:pt idx="1">
                  <c:v>0.3</c:v>
                </c:pt>
                <c:pt idx="2">
                  <c:v>0.1</c:v>
                </c:pt>
                <c:pt idx="3">
                  <c:v>0.05</c:v>
                </c:pt>
                <c:pt idx="4">
                  <c:v>0.3</c:v>
                </c:pt>
                <c:pt idx="5">
                  <c:v>0.25</c:v>
                </c:pt>
                <c:pt idx="6">
                  <c:v>0.1</c:v>
                </c:pt>
                <c:pt idx="7">
                  <c:v>0.5</c:v>
                </c:pt>
                <c:pt idx="8">
                  <c:v>1</c:v>
                </c:pt>
                <c:pt idx="9">
                  <c:v>0.05</c:v>
                </c:pt>
                <c:pt idx="10">
                  <c:v>0.8</c:v>
                </c:pt>
                <c:pt idx="11">
                  <c:v>0.6</c:v>
                </c:pt>
                <c:pt idx="12">
                  <c:v>0.75</c:v>
                </c:pt>
                <c:pt idx="13">
                  <c:v>0.3</c:v>
                </c:pt>
              </c:numCache>
            </c:numRef>
          </c:val>
          <c:smooth val="0"/>
          <c:extLst>
            <c:ext xmlns:c16="http://schemas.microsoft.com/office/drawing/2014/chart" uri="{C3380CC4-5D6E-409C-BE32-E72D297353CC}">
              <c16:uniqueId val="{00000001-46B5-4E77-B0AE-987D91B28059}"/>
            </c:ext>
          </c:extLst>
        </c:ser>
        <c:dLbls>
          <c:showLegendKey val="0"/>
          <c:showVal val="0"/>
          <c:showCatName val="0"/>
          <c:showSerName val="0"/>
          <c:showPercent val="0"/>
          <c:showBubbleSize val="0"/>
        </c:dLbls>
        <c:marker val="1"/>
        <c:smooth val="0"/>
        <c:axId val="246219471"/>
        <c:axId val="246212751"/>
      </c:lineChart>
      <c:catAx>
        <c:axId val="10188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6639"/>
        <c:crosses val="autoZero"/>
        <c:auto val="1"/>
        <c:lblAlgn val="ctr"/>
        <c:lblOffset val="100"/>
        <c:noMultiLvlLbl val="0"/>
      </c:catAx>
      <c:valAx>
        <c:axId val="101896639"/>
        <c:scaling>
          <c:orientation val="minMax"/>
        </c:scaling>
        <c:delete val="0"/>
        <c:axPos val="l"/>
        <c:numFmt formatCode="_(* #,##0.00_);_(* \(#,##0.00\);_(* &quot;-&quot;??_);_(@_)" sourceLinked="1"/>
        <c:majorTickMark val="cross"/>
        <c:minorTickMark val="out"/>
        <c:tickLblPos val="nextTo"/>
        <c:spPr>
          <a:noFill/>
          <a:ln>
            <a:solidFill>
              <a:srgbClr val="FF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1759"/>
        <c:crosses val="autoZero"/>
        <c:crossBetween val="between"/>
        <c:majorUnit val="1000000"/>
      </c:valAx>
      <c:valAx>
        <c:axId val="246212751"/>
        <c:scaling>
          <c:orientation val="minMax"/>
          <c:max val="1"/>
        </c:scaling>
        <c:delete val="0"/>
        <c:axPos val="r"/>
        <c:numFmt formatCode="0%" sourceLinked="0"/>
        <c:majorTickMark val="cross"/>
        <c:minorTickMark val="out"/>
        <c:tickLblPos val="nextTo"/>
        <c:spPr>
          <a:noFill/>
          <a:ln w="12700" cmpd="sng">
            <a:solidFill>
              <a:srgbClr val="FF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19471"/>
        <c:crosses val="max"/>
        <c:crossBetween val="between"/>
        <c:majorUnit val="0.2"/>
      </c:valAx>
      <c:catAx>
        <c:axId val="246219471"/>
        <c:scaling>
          <c:orientation val="minMax"/>
        </c:scaling>
        <c:delete val="1"/>
        <c:axPos val="b"/>
        <c:numFmt formatCode="General" sourceLinked="1"/>
        <c:majorTickMark val="out"/>
        <c:minorTickMark val="none"/>
        <c:tickLblPos val="nextTo"/>
        <c:crossAx val="246212751"/>
        <c:crosses val="autoZero"/>
        <c:auto val="1"/>
        <c:lblAlgn val="ctr"/>
        <c:lblOffset val="100"/>
        <c:noMultiLvlLbl val="0"/>
      </c:catAx>
      <c:spPr>
        <a:noFill/>
        <a:ln>
          <a:noFill/>
        </a:ln>
        <a:effectLst/>
      </c:spPr>
    </c:plotArea>
    <c:legend>
      <c:legendPos val="b"/>
      <c:layout>
        <c:manualLayout>
          <c:xMode val="edge"/>
          <c:yMode val="edge"/>
          <c:x val="0.32619113657006421"/>
          <c:y val="0.63131034147963216"/>
          <c:w val="0.39063069453195504"/>
          <c:h val="3.94088796767175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7172</xdr:colOff>
      <xdr:row>22</xdr:row>
      <xdr:rowOff>12325</xdr:rowOff>
    </xdr:from>
    <xdr:to>
      <xdr:col>7</xdr:col>
      <xdr:colOff>887505</xdr:colOff>
      <xdr:row>52</xdr:row>
      <xdr:rowOff>71718</xdr:rowOff>
    </xdr:to>
    <xdr:graphicFrame macro="">
      <xdr:nvGraphicFramePr>
        <xdr:cNvPr id="2" name="Chart 1">
          <a:extLst>
            <a:ext uri="{FF2B5EF4-FFF2-40B4-BE49-F238E27FC236}">
              <a16:creationId xmlns:a16="http://schemas.microsoft.com/office/drawing/2014/main" id="{CDCEECAE-2C55-8EE1-BF49-56C2A0185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9CDE-FE8E-4803-825F-C3BC4EAE434F}">
  <dimension ref="B2:H21"/>
  <sheetViews>
    <sheetView tabSelected="1" topLeftCell="A19" zoomScale="85" zoomScaleNormal="85" workbookViewId="0">
      <selection activeCell="L46" sqref="L46"/>
    </sheetView>
  </sheetViews>
  <sheetFormatPr defaultRowHeight="14.4" x14ac:dyDescent="0.3"/>
  <cols>
    <col min="2" max="2" width="17.44140625" customWidth="1"/>
    <col min="3" max="3" width="29.6640625" bestFit="1" customWidth="1"/>
    <col min="4" max="4" width="13.21875" style="65" customWidth="1"/>
    <col min="5" max="5" width="16" customWidth="1"/>
    <col min="6" max="6" width="18" style="65" customWidth="1"/>
    <col min="7" max="7" width="13.44140625" customWidth="1"/>
    <col min="8" max="8" width="13.109375" customWidth="1"/>
  </cols>
  <sheetData>
    <row r="2" spans="2:8" x14ac:dyDescent="0.3">
      <c r="B2" s="68" t="s">
        <v>84</v>
      </c>
      <c r="C2" s="5" t="s">
        <v>79</v>
      </c>
    </row>
    <row r="3" spans="2:8" x14ac:dyDescent="0.3">
      <c r="B3" s="68" t="s">
        <v>80</v>
      </c>
      <c r="C3" s="5" t="s">
        <v>81</v>
      </c>
    </row>
    <row r="4" spans="2:8" x14ac:dyDescent="0.3">
      <c r="B4" s="68" t="s">
        <v>85</v>
      </c>
      <c r="C4" s="5"/>
    </row>
    <row r="7" spans="2:8" x14ac:dyDescent="0.3">
      <c r="B7" s="6" t="s">
        <v>133</v>
      </c>
      <c r="C7" s="6" t="s">
        <v>27</v>
      </c>
      <c r="D7" s="82" t="s">
        <v>2</v>
      </c>
      <c r="E7" s="6" t="s">
        <v>158</v>
      </c>
      <c r="F7" s="82" t="s">
        <v>83</v>
      </c>
      <c r="G7" s="6" t="s">
        <v>154</v>
      </c>
      <c r="H7" s="82" t="s">
        <v>155</v>
      </c>
    </row>
    <row r="8" spans="2:8" x14ac:dyDescent="0.3">
      <c r="B8" s="79" t="s">
        <v>90</v>
      </c>
      <c r="C8" s="5" t="s">
        <v>91</v>
      </c>
      <c r="D8" s="63" cm="1">
        <f t="array" ref="D8:D21">'Work Order Tracker'!K7:K20</f>
        <v>8000000</v>
      </c>
      <c r="E8" s="70" cm="1">
        <f t="array" ref="E8:E21">'Weekly Progress Report'!I7:I20</f>
        <v>0.2</v>
      </c>
      <c r="F8" s="63" cm="1">
        <f t="array" ref="F8:F21">'Payment Certificate Tracker'!K7:K20</f>
        <v>200000</v>
      </c>
      <c r="G8" s="5"/>
      <c r="H8" s="5"/>
    </row>
    <row r="9" spans="2:8" x14ac:dyDescent="0.3">
      <c r="B9" s="79" t="s">
        <v>94</v>
      </c>
      <c r="C9" s="5" t="s">
        <v>95</v>
      </c>
      <c r="D9" s="63">
        <v>3000000</v>
      </c>
      <c r="E9" s="70">
        <v>0.3</v>
      </c>
      <c r="F9" s="63">
        <v>200000</v>
      </c>
      <c r="G9" s="5"/>
      <c r="H9" s="5"/>
    </row>
    <row r="10" spans="2:8" x14ac:dyDescent="0.3">
      <c r="B10" s="79" t="s">
        <v>96</v>
      </c>
      <c r="C10" s="5" t="s">
        <v>97</v>
      </c>
      <c r="D10" s="63">
        <v>3000000</v>
      </c>
      <c r="E10" s="70">
        <v>0.1</v>
      </c>
      <c r="F10" s="63">
        <v>200000</v>
      </c>
      <c r="G10" s="5"/>
      <c r="H10" s="5"/>
    </row>
    <row r="11" spans="2:8" x14ac:dyDescent="0.3">
      <c r="B11" s="79" t="s">
        <v>136</v>
      </c>
      <c r="C11" s="5" t="s">
        <v>137</v>
      </c>
      <c r="D11" s="63">
        <v>1000000</v>
      </c>
      <c r="E11" s="70">
        <v>0.05</v>
      </c>
      <c r="F11" s="63">
        <v>200000</v>
      </c>
      <c r="G11" s="5"/>
      <c r="H11" s="5"/>
    </row>
    <row r="12" spans="2:8" x14ac:dyDescent="0.3">
      <c r="B12" s="79" t="s">
        <v>98</v>
      </c>
      <c r="C12" s="5" t="s">
        <v>99</v>
      </c>
      <c r="D12" s="63">
        <v>850000</v>
      </c>
      <c r="E12" s="70">
        <v>0.3</v>
      </c>
      <c r="F12" s="63">
        <v>200000</v>
      </c>
      <c r="G12" s="5"/>
      <c r="H12" s="5"/>
    </row>
    <row r="13" spans="2:8" x14ac:dyDescent="0.3">
      <c r="B13" s="79" t="s">
        <v>100</v>
      </c>
      <c r="C13" s="5" t="s">
        <v>101</v>
      </c>
      <c r="D13" s="63">
        <v>6000000</v>
      </c>
      <c r="E13" s="70">
        <v>0.25</v>
      </c>
      <c r="F13" s="63">
        <v>200000</v>
      </c>
      <c r="G13" s="5"/>
      <c r="H13" s="5"/>
    </row>
    <row r="14" spans="2:8" x14ac:dyDescent="0.3">
      <c r="B14" s="79" t="s">
        <v>102</v>
      </c>
      <c r="C14" s="5" t="s">
        <v>103</v>
      </c>
      <c r="D14" s="63">
        <v>1500000</v>
      </c>
      <c r="E14" s="70">
        <v>0.1</v>
      </c>
      <c r="F14" s="63">
        <v>200000</v>
      </c>
      <c r="G14" s="5"/>
      <c r="H14" s="5"/>
    </row>
    <row r="15" spans="2:8" x14ac:dyDescent="0.3">
      <c r="B15" s="79" t="s">
        <v>104</v>
      </c>
      <c r="C15" s="5" t="s">
        <v>105</v>
      </c>
      <c r="D15" s="63">
        <v>600000</v>
      </c>
      <c r="E15" s="70">
        <v>0.5</v>
      </c>
      <c r="F15" s="63">
        <v>200000</v>
      </c>
      <c r="G15" s="5"/>
      <c r="H15" s="5"/>
    </row>
    <row r="16" spans="2:8" x14ac:dyDescent="0.3">
      <c r="B16" s="79" t="s">
        <v>106</v>
      </c>
      <c r="C16" s="5" t="s">
        <v>107</v>
      </c>
      <c r="D16" s="63">
        <v>6000000</v>
      </c>
      <c r="E16" s="70">
        <v>1</v>
      </c>
      <c r="F16" s="63">
        <v>200000</v>
      </c>
      <c r="G16" s="5"/>
      <c r="H16" s="5"/>
    </row>
    <row r="17" spans="2:8" x14ac:dyDescent="0.3">
      <c r="B17" s="79" t="s">
        <v>108</v>
      </c>
      <c r="C17" s="5" t="s">
        <v>109</v>
      </c>
      <c r="D17" s="63">
        <v>6000000</v>
      </c>
      <c r="E17" s="70">
        <v>0.05</v>
      </c>
      <c r="F17" s="63">
        <v>200000</v>
      </c>
      <c r="G17" s="5"/>
      <c r="H17" s="5"/>
    </row>
    <row r="18" spans="2:8" x14ac:dyDescent="0.3">
      <c r="B18" s="79" t="s">
        <v>110</v>
      </c>
      <c r="C18" s="5" t="s">
        <v>111</v>
      </c>
      <c r="D18" s="63">
        <v>8000000</v>
      </c>
      <c r="E18" s="70">
        <v>0.8</v>
      </c>
      <c r="F18" s="63">
        <v>200000</v>
      </c>
      <c r="G18" s="5"/>
      <c r="H18" s="5"/>
    </row>
    <row r="19" spans="2:8" x14ac:dyDescent="0.3">
      <c r="B19" s="79" t="s">
        <v>112</v>
      </c>
      <c r="C19" s="5" t="s">
        <v>113</v>
      </c>
      <c r="D19" s="63">
        <v>5000000</v>
      </c>
      <c r="E19" s="70">
        <v>0.6</v>
      </c>
      <c r="F19" s="63">
        <v>200000</v>
      </c>
      <c r="G19" s="5"/>
      <c r="H19" s="5"/>
    </row>
    <row r="20" spans="2:8" x14ac:dyDescent="0.3">
      <c r="B20" s="79" t="s">
        <v>114</v>
      </c>
      <c r="C20" s="5" t="s">
        <v>115</v>
      </c>
      <c r="D20" s="63">
        <v>8000000</v>
      </c>
      <c r="E20" s="70">
        <v>0.75</v>
      </c>
      <c r="F20" s="63">
        <v>200000</v>
      </c>
      <c r="G20" s="5"/>
      <c r="H20" s="5"/>
    </row>
    <row r="21" spans="2:8" x14ac:dyDescent="0.3">
      <c r="B21" s="79" t="s">
        <v>116</v>
      </c>
      <c r="C21" s="5" t="s">
        <v>117</v>
      </c>
      <c r="D21" s="63">
        <v>2500000</v>
      </c>
      <c r="E21" s="70">
        <v>0.3</v>
      </c>
      <c r="F21" s="63">
        <v>200000</v>
      </c>
      <c r="G21" s="5"/>
      <c r="H21" s="5"/>
    </row>
  </sheetData>
  <conditionalFormatting sqref="E8:E21">
    <cfRule type="dataBar" priority="1">
      <dataBar>
        <cfvo type="num" val="0"/>
        <cfvo type="num" val="1"/>
        <color theme="9" tint="0.39997558519241921"/>
      </dataBar>
      <extLst>
        <ext xmlns:x14="http://schemas.microsoft.com/office/spreadsheetml/2009/9/main" uri="{B025F937-C7B1-47D3-B67F-A62EFF666E3E}">
          <x14:id>{14154756-89A2-4D76-B29C-0F4BA5BD9C98}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4154756-89A2-4D76-B29C-0F4BA5BD9C98}">
            <x14:dataBar minLength="0" maxLength="100" gradient="0">
              <x14:cfvo type="num">
                <xm:f>0</xm:f>
              </x14:cfvo>
              <x14:cfvo type="num">
                <xm:f>1</xm:f>
              </x14:cfvo>
              <x14:negativeFillColor rgb="FFFF0000"/>
              <x14:axisColor rgb="FF000000"/>
            </x14:dataBar>
          </x14:cfRule>
          <xm:sqref>E8:E21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53340-CA37-4487-A1A0-974C00B74A55}">
  <sheetPr>
    <pageSetUpPr fitToPage="1"/>
  </sheetPr>
  <dimension ref="B1:I24"/>
  <sheetViews>
    <sheetView view="pageBreakPreview" zoomScaleNormal="100" zoomScaleSheetLayoutView="100" workbookViewId="0">
      <selection activeCell="E20" sqref="E20"/>
    </sheetView>
  </sheetViews>
  <sheetFormatPr defaultRowHeight="14.4" x14ac:dyDescent="0.3"/>
  <cols>
    <col min="2" max="2" width="13.5546875" bestFit="1" customWidth="1"/>
    <col min="3" max="3" width="22.21875" customWidth="1"/>
    <col min="4" max="4" width="25.33203125" customWidth="1"/>
    <col min="5" max="5" width="18" customWidth="1"/>
    <col min="6" max="6" width="45.6640625" customWidth="1"/>
    <col min="9" max="9" width="14.5546875" style="85" bestFit="1" customWidth="1"/>
  </cols>
  <sheetData>
    <row r="1" spans="2:9" ht="15" thickBot="1" x14ac:dyDescent="0.35"/>
    <row r="2" spans="2:9" x14ac:dyDescent="0.3">
      <c r="B2" s="68" t="s">
        <v>84</v>
      </c>
      <c r="C2" s="5" t="s">
        <v>79</v>
      </c>
      <c r="E2" s="71" t="s">
        <v>149</v>
      </c>
      <c r="F2" s="72"/>
    </row>
    <row r="3" spans="2:9" x14ac:dyDescent="0.3">
      <c r="B3" s="68" t="s">
        <v>80</v>
      </c>
      <c r="C3" s="5" t="s">
        <v>81</v>
      </c>
      <c r="E3" s="73"/>
      <c r="F3" s="74"/>
    </row>
    <row r="4" spans="2:9" ht="15" thickBot="1" x14ac:dyDescent="0.35">
      <c r="B4" s="68" t="s">
        <v>85</v>
      </c>
      <c r="C4" s="5"/>
      <c r="E4" s="75"/>
      <c r="F4" s="76"/>
    </row>
    <row r="6" spans="2:9" x14ac:dyDescent="0.3">
      <c r="B6" s="6" t="s">
        <v>133</v>
      </c>
      <c r="C6" s="3" t="s">
        <v>5</v>
      </c>
      <c r="D6" s="3" t="s">
        <v>0</v>
      </c>
      <c r="E6" s="4" t="s">
        <v>1</v>
      </c>
      <c r="F6" s="4" t="s">
        <v>3</v>
      </c>
      <c r="H6" s="4" t="s">
        <v>133</v>
      </c>
      <c r="I6" s="86" t="s">
        <v>150</v>
      </c>
    </row>
    <row r="7" spans="2:9" x14ac:dyDescent="0.3">
      <c r="B7" s="79" t="s">
        <v>90</v>
      </c>
      <c r="C7" s="5"/>
      <c r="D7" s="5"/>
      <c r="E7" s="70">
        <v>0.2</v>
      </c>
      <c r="F7" s="5"/>
      <c r="H7" s="79" t="s">
        <v>90</v>
      </c>
      <c r="I7" s="87">
        <f>AVERAGEIF($B$7:$B$64,H7,$E$7:$E$64)</f>
        <v>0.2</v>
      </c>
    </row>
    <row r="8" spans="2:9" x14ac:dyDescent="0.3">
      <c r="B8" s="79" t="s">
        <v>94</v>
      </c>
      <c r="C8" s="5"/>
      <c r="D8" s="5"/>
      <c r="E8" s="70">
        <v>0.3</v>
      </c>
      <c r="F8" s="5"/>
      <c r="H8" s="79" t="s">
        <v>94</v>
      </c>
      <c r="I8" s="87">
        <f t="shared" ref="I8:I20" si="0">SUMIF($B$7:$B$38,H8,$E$7:$E$38)</f>
        <v>0.3</v>
      </c>
    </row>
    <row r="9" spans="2:9" x14ac:dyDescent="0.3">
      <c r="B9" s="79" t="s">
        <v>96</v>
      </c>
      <c r="C9" s="5"/>
      <c r="D9" s="5"/>
      <c r="E9" s="70">
        <v>0.1</v>
      </c>
      <c r="F9" s="5"/>
      <c r="H9" s="79" t="s">
        <v>96</v>
      </c>
      <c r="I9" s="87">
        <f t="shared" si="0"/>
        <v>0.1</v>
      </c>
    </row>
    <row r="10" spans="2:9" x14ac:dyDescent="0.3">
      <c r="B10" s="79" t="s">
        <v>136</v>
      </c>
      <c r="C10" s="5"/>
      <c r="D10" s="5"/>
      <c r="E10" s="70">
        <v>0.05</v>
      </c>
      <c r="F10" s="5"/>
      <c r="H10" s="79" t="s">
        <v>136</v>
      </c>
      <c r="I10" s="87">
        <f t="shared" si="0"/>
        <v>0.05</v>
      </c>
    </row>
    <row r="11" spans="2:9" x14ac:dyDescent="0.3">
      <c r="B11" s="79" t="s">
        <v>98</v>
      </c>
      <c r="C11" s="5"/>
      <c r="D11" s="5"/>
      <c r="E11" s="70">
        <v>0.3</v>
      </c>
      <c r="F11" s="5"/>
      <c r="H11" s="79" t="s">
        <v>98</v>
      </c>
      <c r="I11" s="87">
        <f t="shared" si="0"/>
        <v>0.3</v>
      </c>
    </row>
    <row r="12" spans="2:9" x14ac:dyDescent="0.3">
      <c r="B12" s="79" t="s">
        <v>100</v>
      </c>
      <c r="C12" s="5"/>
      <c r="D12" s="5"/>
      <c r="E12" s="70">
        <v>0.25</v>
      </c>
      <c r="F12" s="5"/>
      <c r="H12" s="79" t="s">
        <v>100</v>
      </c>
      <c r="I12" s="87">
        <f t="shared" si="0"/>
        <v>0.25</v>
      </c>
    </row>
    <row r="13" spans="2:9" x14ac:dyDescent="0.3">
      <c r="B13" s="79" t="s">
        <v>102</v>
      </c>
      <c r="C13" s="5"/>
      <c r="D13" s="5"/>
      <c r="E13" s="70">
        <v>0.1</v>
      </c>
      <c r="F13" s="5"/>
      <c r="H13" s="79" t="s">
        <v>102</v>
      </c>
      <c r="I13" s="87">
        <f t="shared" si="0"/>
        <v>0.1</v>
      </c>
    </row>
    <row r="14" spans="2:9" x14ac:dyDescent="0.3">
      <c r="B14" s="79" t="s">
        <v>104</v>
      </c>
      <c r="C14" s="5"/>
      <c r="D14" s="5"/>
      <c r="E14" s="70">
        <v>0.5</v>
      </c>
      <c r="F14" s="5"/>
      <c r="H14" s="79" t="s">
        <v>104</v>
      </c>
      <c r="I14" s="87">
        <f t="shared" si="0"/>
        <v>0.5</v>
      </c>
    </row>
    <row r="15" spans="2:9" x14ac:dyDescent="0.3">
      <c r="B15" s="79" t="s">
        <v>106</v>
      </c>
      <c r="C15" s="5"/>
      <c r="D15" s="5"/>
      <c r="E15" s="70">
        <v>1</v>
      </c>
      <c r="F15" s="5"/>
      <c r="H15" s="79" t="s">
        <v>106</v>
      </c>
      <c r="I15" s="87">
        <f t="shared" si="0"/>
        <v>1</v>
      </c>
    </row>
    <row r="16" spans="2:9" x14ac:dyDescent="0.3">
      <c r="B16" s="79" t="s">
        <v>108</v>
      </c>
      <c r="C16" s="5"/>
      <c r="D16" s="5"/>
      <c r="E16" s="70">
        <v>0.05</v>
      </c>
      <c r="F16" s="5"/>
      <c r="H16" s="79" t="s">
        <v>108</v>
      </c>
      <c r="I16" s="87">
        <f t="shared" si="0"/>
        <v>0.05</v>
      </c>
    </row>
    <row r="17" spans="2:9" x14ac:dyDescent="0.3">
      <c r="B17" s="79" t="s">
        <v>110</v>
      </c>
      <c r="C17" s="5"/>
      <c r="D17" s="5"/>
      <c r="E17" s="70">
        <v>0.8</v>
      </c>
      <c r="F17" s="5"/>
      <c r="H17" s="79" t="s">
        <v>110</v>
      </c>
      <c r="I17" s="87">
        <f t="shared" si="0"/>
        <v>0.8</v>
      </c>
    </row>
    <row r="18" spans="2:9" x14ac:dyDescent="0.3">
      <c r="B18" s="79" t="s">
        <v>112</v>
      </c>
      <c r="C18" s="5"/>
      <c r="D18" s="5"/>
      <c r="E18" s="70">
        <v>0.6</v>
      </c>
      <c r="F18" s="5"/>
      <c r="H18" s="79" t="s">
        <v>112</v>
      </c>
      <c r="I18" s="87">
        <f t="shared" si="0"/>
        <v>0.6</v>
      </c>
    </row>
    <row r="19" spans="2:9" x14ac:dyDescent="0.3">
      <c r="B19" s="79" t="s">
        <v>114</v>
      </c>
      <c r="C19" s="5"/>
      <c r="D19" s="5"/>
      <c r="E19" s="70">
        <v>0.75</v>
      </c>
      <c r="F19" s="5"/>
      <c r="H19" s="79" t="s">
        <v>114</v>
      </c>
      <c r="I19" s="87">
        <f t="shared" si="0"/>
        <v>0.75</v>
      </c>
    </row>
    <row r="20" spans="2:9" x14ac:dyDescent="0.3">
      <c r="B20" s="79" t="s">
        <v>116</v>
      </c>
      <c r="C20" s="5"/>
      <c r="D20" s="5"/>
      <c r="E20" s="70">
        <v>0.3</v>
      </c>
      <c r="F20" s="5"/>
      <c r="H20" s="79" t="s">
        <v>116</v>
      </c>
      <c r="I20" s="87">
        <f t="shared" si="0"/>
        <v>0.3</v>
      </c>
    </row>
    <row r="21" spans="2:9" x14ac:dyDescent="0.3">
      <c r="B21" s="8"/>
      <c r="C21" s="5"/>
      <c r="D21" s="5"/>
      <c r="E21" s="70"/>
      <c r="F21" s="5"/>
    </row>
    <row r="22" spans="2:9" x14ac:dyDescent="0.3">
      <c r="B22" s="8"/>
      <c r="C22" s="5"/>
      <c r="D22" s="5"/>
      <c r="E22" s="70"/>
      <c r="F22" s="5"/>
    </row>
    <row r="23" spans="2:9" x14ac:dyDescent="0.3">
      <c r="B23" s="8"/>
      <c r="C23" s="5"/>
      <c r="D23" s="5"/>
      <c r="E23" s="70"/>
      <c r="F23" s="5"/>
    </row>
    <row r="24" spans="2:9" x14ac:dyDescent="0.3">
      <c r="B24" s="8"/>
      <c r="C24" s="5"/>
      <c r="D24" s="5"/>
      <c r="E24" s="70"/>
      <c r="F24" s="5"/>
    </row>
  </sheetData>
  <mergeCells count="1">
    <mergeCell ref="E2:F4"/>
  </mergeCells>
  <conditionalFormatting sqref="E7:E24">
    <cfRule type="dataBar" priority="1">
      <dataBar>
        <cfvo type="num" val="0"/>
        <cfvo type="num" val="1"/>
        <color theme="9" tint="0.39997558519241921"/>
      </dataBar>
      <extLst>
        <ext xmlns:x14="http://schemas.microsoft.com/office/spreadsheetml/2009/9/main" uri="{B025F937-C7B1-47D3-B67F-A62EFF666E3E}">
          <x14:id>{276C67DE-E524-4E91-837E-CCCCF85BD984}</x14:id>
        </ext>
      </extLst>
    </cfRule>
  </conditionalFormatting>
  <pageMargins left="0.25" right="0.25" top="0.75" bottom="0.75" header="0.3" footer="0.3"/>
  <pageSetup paperSize="9" scale="79" fitToHeight="0" orientation="portrait" r:id="rId1"/>
  <extLst>
    <ext xmlns:x14="http://schemas.microsoft.com/office/spreadsheetml/2009/9/main" uri="{78C0D931-6437-407d-A8EE-F0AAD7539E65}">
      <x14:conditionalFormattings>
        <x14:conditionalFormatting xmlns:xm="http://schemas.microsoft.com/office/excel/2006/main">
          <x14:cfRule type="dataBar" id="{276C67DE-E524-4E91-837E-CCCCF85BD984}">
            <x14:dataBar minLength="0" maxLength="100" gradient="0">
              <x14:cfvo type="num">
                <xm:f>0</xm:f>
              </x14:cfvo>
              <x14:cfvo type="num">
                <xm:f>1</xm:f>
              </x14:cfvo>
              <x14:negativeFillColor rgb="FFFF0000"/>
              <x14:axisColor rgb="FF000000"/>
            </x14:dataBar>
          </x14:cfRule>
          <xm:sqref>E7:E24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9AF1-3716-453D-9E31-38DF1C4103F9}">
  <sheetPr>
    <pageSetUpPr fitToPage="1"/>
  </sheetPr>
  <dimension ref="B1:K39"/>
  <sheetViews>
    <sheetView view="pageBreakPreview" topLeftCell="A4" zoomScaleNormal="100" zoomScaleSheetLayoutView="100" workbookViewId="0">
      <selection activeCell="E39" sqref="E39"/>
    </sheetView>
  </sheetViews>
  <sheetFormatPr defaultRowHeight="14.4" x14ac:dyDescent="0.3"/>
  <cols>
    <col min="2" max="3" width="16.33203125" customWidth="1"/>
    <col min="4" max="4" width="21.77734375" customWidth="1"/>
    <col min="5" max="5" width="19.88671875" style="65" customWidth="1"/>
    <col min="6" max="8" width="21.21875" style="65" customWidth="1"/>
    <col min="10" max="10" width="14.88671875" bestFit="1" customWidth="1"/>
    <col min="11" max="11" width="12.33203125" style="65" customWidth="1"/>
  </cols>
  <sheetData>
    <row r="1" spans="2:11" ht="15" thickBot="1" x14ac:dyDescent="0.35"/>
    <row r="2" spans="2:11" x14ac:dyDescent="0.3">
      <c r="B2" s="68" t="s">
        <v>84</v>
      </c>
      <c r="C2" s="5" t="s">
        <v>79</v>
      </c>
      <c r="G2" s="71" t="s">
        <v>147</v>
      </c>
      <c r="H2" s="72"/>
    </row>
    <row r="3" spans="2:11" x14ac:dyDescent="0.3">
      <c r="B3" s="68" t="s">
        <v>80</v>
      </c>
      <c r="C3" s="5" t="s">
        <v>81</v>
      </c>
      <c r="G3" s="73"/>
      <c r="H3" s="74"/>
    </row>
    <row r="4" spans="2:11" ht="15" thickBot="1" x14ac:dyDescent="0.35">
      <c r="B4" s="68" t="s">
        <v>85</v>
      </c>
      <c r="C4" s="5"/>
      <c r="G4" s="75"/>
      <c r="H4" s="76"/>
    </row>
    <row r="6" spans="2:11" x14ac:dyDescent="0.3">
      <c r="B6" s="6" t="s">
        <v>133</v>
      </c>
      <c r="C6" s="3" t="s">
        <v>5</v>
      </c>
      <c r="D6" s="3" t="s">
        <v>0</v>
      </c>
      <c r="E6" s="66" t="s">
        <v>2</v>
      </c>
      <c r="F6" s="66" t="s">
        <v>4</v>
      </c>
      <c r="G6" s="80" t="s">
        <v>152</v>
      </c>
      <c r="H6" s="80" t="s">
        <v>153</v>
      </c>
      <c r="J6" s="4" t="s">
        <v>133</v>
      </c>
      <c r="K6" s="80" t="s">
        <v>151</v>
      </c>
    </row>
    <row r="7" spans="2:11" x14ac:dyDescent="0.3">
      <c r="B7" s="79" t="s">
        <v>90</v>
      </c>
      <c r="C7" s="5" t="s">
        <v>75</v>
      </c>
      <c r="D7" s="5" t="s">
        <v>82</v>
      </c>
      <c r="E7" s="63">
        <v>8000000</v>
      </c>
      <c r="F7" s="63">
        <f>E7*5%</f>
        <v>400000</v>
      </c>
      <c r="G7" s="63"/>
      <c r="H7" s="63"/>
      <c r="J7" s="79" t="s">
        <v>90</v>
      </c>
      <c r="K7" s="81">
        <f>SUMIF($B$7:$B$38,J7,$E$7:$E$38)</f>
        <v>8000000</v>
      </c>
    </row>
    <row r="8" spans="2:11" x14ac:dyDescent="0.3">
      <c r="B8" s="79" t="s">
        <v>94</v>
      </c>
      <c r="C8" s="5"/>
      <c r="D8" s="5"/>
      <c r="E8" s="63">
        <v>3000000</v>
      </c>
      <c r="F8" s="63">
        <f t="shared" ref="F8:F20" si="0">E8*5%</f>
        <v>150000</v>
      </c>
      <c r="G8" s="63"/>
      <c r="H8" s="63"/>
      <c r="J8" s="79" t="s">
        <v>94</v>
      </c>
      <c r="K8" s="81">
        <f t="shared" ref="K8:K20" si="1">SUMIF($B$7:$B$38,J8,$E$7:$E$38)</f>
        <v>3000000</v>
      </c>
    </row>
    <row r="9" spans="2:11" x14ac:dyDescent="0.3">
      <c r="B9" s="79" t="s">
        <v>96</v>
      </c>
      <c r="C9" s="5"/>
      <c r="D9" s="5"/>
      <c r="E9" s="63">
        <v>3000000</v>
      </c>
      <c r="F9" s="63">
        <f t="shared" si="0"/>
        <v>150000</v>
      </c>
      <c r="G9" s="63"/>
      <c r="H9" s="63"/>
      <c r="J9" s="79" t="s">
        <v>96</v>
      </c>
      <c r="K9" s="81">
        <f t="shared" si="1"/>
        <v>3000000</v>
      </c>
    </row>
    <row r="10" spans="2:11" x14ac:dyDescent="0.3">
      <c r="B10" s="79" t="s">
        <v>136</v>
      </c>
      <c r="C10" s="5"/>
      <c r="D10" s="5"/>
      <c r="E10" s="63">
        <v>1000000</v>
      </c>
      <c r="F10" s="63">
        <f t="shared" si="0"/>
        <v>50000</v>
      </c>
      <c r="G10" s="63"/>
      <c r="H10" s="63"/>
      <c r="J10" s="79" t="s">
        <v>136</v>
      </c>
      <c r="K10" s="81">
        <f t="shared" si="1"/>
        <v>1000000</v>
      </c>
    </row>
    <row r="11" spans="2:11" x14ac:dyDescent="0.3">
      <c r="B11" s="79" t="s">
        <v>98</v>
      </c>
      <c r="C11" s="5"/>
      <c r="D11" s="5"/>
      <c r="E11" s="63">
        <v>850000</v>
      </c>
      <c r="F11" s="63">
        <f t="shared" si="0"/>
        <v>42500</v>
      </c>
      <c r="G11" s="63"/>
      <c r="H11" s="63"/>
      <c r="J11" s="79" t="s">
        <v>98</v>
      </c>
      <c r="K11" s="81">
        <f t="shared" si="1"/>
        <v>850000</v>
      </c>
    </row>
    <row r="12" spans="2:11" x14ac:dyDescent="0.3">
      <c r="B12" s="79" t="s">
        <v>100</v>
      </c>
      <c r="C12" s="5"/>
      <c r="D12" s="5"/>
      <c r="E12" s="63">
        <v>6000000</v>
      </c>
      <c r="F12" s="63">
        <f t="shared" si="0"/>
        <v>300000</v>
      </c>
      <c r="G12" s="63"/>
      <c r="H12" s="63"/>
      <c r="J12" s="79" t="s">
        <v>100</v>
      </c>
      <c r="K12" s="81">
        <f t="shared" si="1"/>
        <v>6000000</v>
      </c>
    </row>
    <row r="13" spans="2:11" x14ac:dyDescent="0.3">
      <c r="B13" s="79" t="s">
        <v>102</v>
      </c>
      <c r="C13" s="5"/>
      <c r="D13" s="5"/>
      <c r="E13" s="63">
        <v>1500000</v>
      </c>
      <c r="F13" s="63">
        <f t="shared" si="0"/>
        <v>75000</v>
      </c>
      <c r="G13" s="63"/>
      <c r="H13" s="63"/>
      <c r="J13" s="79" t="s">
        <v>102</v>
      </c>
      <c r="K13" s="81">
        <f t="shared" si="1"/>
        <v>1500000</v>
      </c>
    </row>
    <row r="14" spans="2:11" x14ac:dyDescent="0.3">
      <c r="B14" s="79" t="s">
        <v>104</v>
      </c>
      <c r="C14" s="5"/>
      <c r="D14" s="5"/>
      <c r="E14" s="63">
        <v>600000</v>
      </c>
      <c r="F14" s="63">
        <f t="shared" si="0"/>
        <v>30000</v>
      </c>
      <c r="G14" s="63"/>
      <c r="H14" s="63"/>
      <c r="J14" s="79" t="s">
        <v>104</v>
      </c>
      <c r="K14" s="81">
        <f t="shared" si="1"/>
        <v>600000</v>
      </c>
    </row>
    <row r="15" spans="2:11" x14ac:dyDescent="0.3">
      <c r="B15" s="79" t="s">
        <v>106</v>
      </c>
      <c r="C15" s="5"/>
      <c r="D15" s="5"/>
      <c r="E15" s="63">
        <v>6000000</v>
      </c>
      <c r="F15" s="63">
        <f t="shared" si="0"/>
        <v>300000</v>
      </c>
      <c r="G15" s="63"/>
      <c r="H15" s="63"/>
      <c r="J15" s="79" t="s">
        <v>106</v>
      </c>
      <c r="K15" s="81">
        <f t="shared" si="1"/>
        <v>6000000</v>
      </c>
    </row>
    <row r="16" spans="2:11" x14ac:dyDescent="0.3">
      <c r="B16" s="79" t="s">
        <v>108</v>
      </c>
      <c r="C16" s="5"/>
      <c r="D16" s="5"/>
      <c r="E16" s="63">
        <v>6000000</v>
      </c>
      <c r="F16" s="63">
        <f t="shared" si="0"/>
        <v>300000</v>
      </c>
      <c r="G16" s="63"/>
      <c r="H16" s="63"/>
      <c r="J16" s="79" t="s">
        <v>108</v>
      </c>
      <c r="K16" s="81">
        <f t="shared" si="1"/>
        <v>6000000</v>
      </c>
    </row>
    <row r="17" spans="2:11" x14ac:dyDescent="0.3">
      <c r="B17" s="79" t="s">
        <v>110</v>
      </c>
      <c r="C17" s="5"/>
      <c r="D17" s="5"/>
      <c r="E17" s="63">
        <v>8000000</v>
      </c>
      <c r="F17" s="63">
        <f t="shared" si="0"/>
        <v>400000</v>
      </c>
      <c r="G17" s="63"/>
      <c r="H17" s="63"/>
      <c r="J17" s="79" t="s">
        <v>110</v>
      </c>
      <c r="K17" s="81">
        <f t="shared" si="1"/>
        <v>8000000</v>
      </c>
    </row>
    <row r="18" spans="2:11" x14ac:dyDescent="0.3">
      <c r="B18" s="79" t="s">
        <v>112</v>
      </c>
      <c r="C18" s="5"/>
      <c r="D18" s="5"/>
      <c r="E18" s="63">
        <v>5000000</v>
      </c>
      <c r="F18" s="63">
        <f t="shared" si="0"/>
        <v>250000</v>
      </c>
      <c r="G18" s="63"/>
      <c r="H18" s="63"/>
      <c r="J18" s="79" t="s">
        <v>112</v>
      </c>
      <c r="K18" s="81">
        <f t="shared" si="1"/>
        <v>5000000</v>
      </c>
    </row>
    <row r="19" spans="2:11" x14ac:dyDescent="0.3">
      <c r="B19" s="79" t="s">
        <v>114</v>
      </c>
      <c r="C19" s="5"/>
      <c r="D19" s="5"/>
      <c r="E19" s="63">
        <v>8000000</v>
      </c>
      <c r="F19" s="63">
        <f t="shared" si="0"/>
        <v>400000</v>
      </c>
      <c r="G19" s="63"/>
      <c r="H19" s="63"/>
      <c r="J19" s="79" t="s">
        <v>114</v>
      </c>
      <c r="K19" s="81">
        <f t="shared" si="1"/>
        <v>8000000</v>
      </c>
    </row>
    <row r="20" spans="2:11" x14ac:dyDescent="0.3">
      <c r="B20" s="79" t="s">
        <v>116</v>
      </c>
      <c r="C20" s="5"/>
      <c r="D20" s="5"/>
      <c r="E20" s="63">
        <v>2500000</v>
      </c>
      <c r="F20" s="63">
        <f t="shared" si="0"/>
        <v>125000</v>
      </c>
      <c r="G20" s="63"/>
      <c r="H20" s="63"/>
      <c r="J20" s="79" t="s">
        <v>116</v>
      </c>
      <c r="K20" s="81">
        <f t="shared" si="1"/>
        <v>2500000</v>
      </c>
    </row>
    <row r="21" spans="2:11" x14ac:dyDescent="0.3">
      <c r="B21" s="8"/>
      <c r="C21" s="5"/>
      <c r="D21" s="5"/>
      <c r="E21" s="63"/>
      <c r="F21" s="63"/>
      <c r="G21" s="63"/>
      <c r="H21" s="63"/>
    </row>
    <row r="22" spans="2:11" x14ac:dyDescent="0.3">
      <c r="B22" s="8"/>
      <c r="C22" s="5"/>
      <c r="D22" s="5"/>
      <c r="E22" s="63"/>
      <c r="F22" s="63"/>
      <c r="G22" s="63"/>
      <c r="H22" s="63"/>
    </row>
    <row r="23" spans="2:11" x14ac:dyDescent="0.3">
      <c r="B23" s="8"/>
      <c r="C23" s="5"/>
      <c r="D23" s="5"/>
      <c r="E23" s="63"/>
      <c r="F23" s="63"/>
      <c r="G23" s="63"/>
      <c r="H23" s="63"/>
    </row>
    <row r="24" spans="2:11" x14ac:dyDescent="0.3">
      <c r="B24" s="8"/>
      <c r="C24" s="5"/>
      <c r="D24" s="5"/>
      <c r="E24" s="63"/>
      <c r="F24" s="63"/>
      <c r="G24" s="63"/>
      <c r="H24" s="63"/>
    </row>
    <row r="25" spans="2:11" x14ac:dyDescent="0.3">
      <c r="B25" s="8"/>
      <c r="C25" s="5"/>
      <c r="D25" s="5"/>
      <c r="E25" s="63"/>
      <c r="F25" s="63"/>
      <c r="G25" s="63"/>
      <c r="H25" s="63"/>
    </row>
    <row r="26" spans="2:11" x14ac:dyDescent="0.3">
      <c r="B26" s="8"/>
      <c r="C26" s="5"/>
      <c r="D26" s="5"/>
      <c r="E26" s="63"/>
      <c r="F26" s="63"/>
      <c r="G26" s="63"/>
      <c r="H26" s="63"/>
    </row>
    <row r="27" spans="2:11" x14ac:dyDescent="0.3">
      <c r="B27" s="8"/>
      <c r="C27" s="5"/>
      <c r="D27" s="5"/>
      <c r="E27" s="63"/>
      <c r="F27" s="63"/>
      <c r="G27" s="63"/>
      <c r="H27" s="63"/>
    </row>
    <row r="28" spans="2:11" x14ac:dyDescent="0.3">
      <c r="B28" s="8"/>
      <c r="C28" s="5"/>
      <c r="D28" s="5"/>
      <c r="E28" s="63"/>
      <c r="F28" s="63"/>
      <c r="G28" s="63"/>
      <c r="H28" s="63"/>
    </row>
    <row r="29" spans="2:11" x14ac:dyDescent="0.3">
      <c r="B29" s="8"/>
      <c r="C29" s="5"/>
      <c r="D29" s="5"/>
      <c r="E29" s="63"/>
      <c r="F29" s="63"/>
      <c r="G29" s="63"/>
      <c r="H29" s="63"/>
    </row>
    <row r="30" spans="2:11" x14ac:dyDescent="0.3">
      <c r="B30" s="8"/>
      <c r="C30" s="5"/>
      <c r="D30" s="5"/>
      <c r="E30" s="63"/>
      <c r="F30" s="63"/>
      <c r="G30" s="63"/>
      <c r="H30" s="63"/>
    </row>
    <row r="31" spans="2:11" x14ac:dyDescent="0.3">
      <c r="B31" s="8"/>
      <c r="C31" s="5"/>
      <c r="D31" s="5"/>
      <c r="E31" s="63"/>
      <c r="F31" s="63"/>
      <c r="G31" s="63"/>
      <c r="H31" s="63"/>
    </row>
    <row r="32" spans="2:11" x14ac:dyDescent="0.3">
      <c r="B32" s="8"/>
      <c r="C32" s="5"/>
      <c r="D32" s="5"/>
      <c r="E32" s="63"/>
      <c r="F32" s="63"/>
      <c r="G32" s="63"/>
      <c r="H32" s="63"/>
    </row>
    <row r="33" spans="2:8" x14ac:dyDescent="0.3">
      <c r="B33" s="8"/>
      <c r="C33" s="5"/>
      <c r="D33" s="5"/>
      <c r="E33" s="63"/>
      <c r="F33" s="63"/>
      <c r="G33" s="63"/>
      <c r="H33" s="63"/>
    </row>
    <row r="34" spans="2:8" x14ac:dyDescent="0.3">
      <c r="B34" s="8"/>
      <c r="C34" s="5"/>
      <c r="D34" s="5"/>
      <c r="E34" s="63"/>
      <c r="F34" s="63"/>
      <c r="G34" s="63"/>
      <c r="H34" s="63"/>
    </row>
    <row r="35" spans="2:8" x14ac:dyDescent="0.3">
      <c r="B35" s="8"/>
      <c r="C35" s="5"/>
      <c r="D35" s="5"/>
      <c r="E35" s="63"/>
      <c r="F35" s="63"/>
      <c r="G35" s="63"/>
      <c r="H35" s="63"/>
    </row>
    <row r="36" spans="2:8" x14ac:dyDescent="0.3">
      <c r="B36" s="8"/>
      <c r="C36" s="5"/>
      <c r="D36" s="5"/>
      <c r="E36" s="63"/>
      <c r="F36" s="63"/>
      <c r="G36" s="63"/>
      <c r="H36" s="63"/>
    </row>
    <row r="37" spans="2:8" x14ac:dyDescent="0.3">
      <c r="B37" s="8"/>
      <c r="C37" s="5"/>
      <c r="D37" s="5"/>
      <c r="E37" s="63"/>
      <c r="F37" s="63"/>
      <c r="G37" s="63"/>
      <c r="H37" s="63"/>
    </row>
    <row r="38" spans="2:8" x14ac:dyDescent="0.3">
      <c r="B38" s="8"/>
      <c r="C38" s="5"/>
      <c r="D38" s="5"/>
      <c r="E38" s="63"/>
      <c r="F38" s="63"/>
      <c r="G38" s="63"/>
      <c r="H38" s="63"/>
    </row>
    <row r="39" spans="2:8" x14ac:dyDescent="0.3">
      <c r="B39" s="22" t="s">
        <v>78</v>
      </c>
      <c r="C39" s="22"/>
      <c r="D39" s="22"/>
      <c r="E39" s="66">
        <f>SUM(E7:E38)</f>
        <v>59450000</v>
      </c>
      <c r="F39" s="66">
        <f>SUM(F7:F38)</f>
        <v>2972500</v>
      </c>
      <c r="G39" s="83"/>
      <c r="H39" s="83"/>
    </row>
  </sheetData>
  <mergeCells count="2">
    <mergeCell ref="B39:D39"/>
    <mergeCell ref="G2:H4"/>
  </mergeCells>
  <pageMargins left="0.25" right="0.25" top="0.75" bottom="0.75" header="0.3" footer="0.3"/>
  <pageSetup paperSize="9" scale="71"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09E2-23E9-4FA5-A02D-90EECBCD8E1E}">
  <sheetPr>
    <pageSetUpPr fitToPage="1"/>
  </sheetPr>
  <dimension ref="B1:K54"/>
  <sheetViews>
    <sheetView view="pageBreakPreview" zoomScaleNormal="100" zoomScaleSheetLayoutView="100" workbookViewId="0">
      <selection activeCell="D22" sqref="D22"/>
    </sheetView>
  </sheetViews>
  <sheetFormatPr defaultRowHeight="14.4" x14ac:dyDescent="0.3"/>
  <cols>
    <col min="2" max="2" width="13.5546875" bestFit="1" customWidth="1"/>
    <col min="3" max="3" width="18.109375" customWidth="1"/>
    <col min="4" max="4" width="18.6640625" style="65" customWidth="1"/>
    <col min="5" max="5" width="18.5546875" customWidth="1"/>
    <col min="6" max="6" width="20.44140625" style="65" customWidth="1"/>
    <col min="7" max="7" width="21.6640625" customWidth="1"/>
    <col min="8" max="8" width="15.44140625" customWidth="1"/>
    <col min="11" max="11" width="12.5546875" style="65" bestFit="1" customWidth="1"/>
  </cols>
  <sheetData>
    <row r="1" spans="2:11" ht="15" thickBot="1" x14ac:dyDescent="0.35"/>
    <row r="2" spans="2:11" ht="14.4" customHeight="1" x14ac:dyDescent="0.3">
      <c r="B2" s="68" t="s">
        <v>84</v>
      </c>
      <c r="C2" s="5" t="s">
        <v>79</v>
      </c>
      <c r="F2"/>
      <c r="G2" s="71" t="s">
        <v>148</v>
      </c>
      <c r="H2" s="72"/>
    </row>
    <row r="3" spans="2:11" ht="14.4" customHeight="1" x14ac:dyDescent="0.3">
      <c r="B3" s="68" t="s">
        <v>80</v>
      </c>
      <c r="C3" s="5" t="s">
        <v>81</v>
      </c>
      <c r="F3"/>
      <c r="G3" s="73"/>
      <c r="H3" s="74"/>
    </row>
    <row r="4" spans="2:11" ht="15" customHeight="1" thickBot="1" x14ac:dyDescent="0.35">
      <c r="B4" s="68" t="s">
        <v>85</v>
      </c>
      <c r="C4" s="5"/>
      <c r="F4"/>
      <c r="G4" s="75"/>
      <c r="H4" s="76"/>
    </row>
    <row r="6" spans="2:11" x14ac:dyDescent="0.3">
      <c r="B6" s="6" t="s">
        <v>133</v>
      </c>
      <c r="C6" s="3" t="s">
        <v>6</v>
      </c>
      <c r="D6" s="3" t="s">
        <v>0</v>
      </c>
      <c r="E6" s="66" t="s">
        <v>7</v>
      </c>
      <c r="F6" s="3" t="s">
        <v>76</v>
      </c>
      <c r="G6" s="66" t="s">
        <v>83</v>
      </c>
      <c r="H6" s="3" t="s">
        <v>77</v>
      </c>
      <c r="J6" s="4" t="s">
        <v>133</v>
      </c>
      <c r="K6" s="80" t="s">
        <v>151</v>
      </c>
    </row>
    <row r="7" spans="2:11" x14ac:dyDescent="0.3">
      <c r="B7" s="79" t="s">
        <v>90</v>
      </c>
      <c r="C7" s="5" t="s">
        <v>74</v>
      </c>
      <c r="D7" s="5" t="s">
        <v>82</v>
      </c>
      <c r="E7" s="63">
        <v>200000</v>
      </c>
      <c r="F7" s="5"/>
      <c r="G7" s="63">
        <f>E7</f>
        <v>200000</v>
      </c>
      <c r="H7" s="5"/>
      <c r="J7" s="79" t="s">
        <v>90</v>
      </c>
      <c r="K7" s="81">
        <f>SUMIF($B$7:$B$53,J7,$G$7:$G$53)</f>
        <v>200000</v>
      </c>
    </row>
    <row r="8" spans="2:11" x14ac:dyDescent="0.3">
      <c r="B8" s="79" t="s">
        <v>94</v>
      </c>
      <c r="C8" s="5"/>
      <c r="D8" s="5"/>
      <c r="E8" s="63">
        <v>200000</v>
      </c>
      <c r="F8" s="5"/>
      <c r="G8" s="63">
        <f t="shared" ref="G8:G20" si="0">E8</f>
        <v>200000</v>
      </c>
      <c r="H8" s="5"/>
      <c r="J8" s="79" t="s">
        <v>94</v>
      </c>
      <c r="K8" s="81">
        <f t="shared" ref="K8:K20" si="1">SUMIF($B$7:$B$53,J8,$G$7:$G$53)</f>
        <v>200000</v>
      </c>
    </row>
    <row r="9" spans="2:11" x14ac:dyDescent="0.3">
      <c r="B9" s="79" t="s">
        <v>96</v>
      </c>
      <c r="C9" s="5"/>
      <c r="D9" s="5"/>
      <c r="E9" s="63">
        <v>200000</v>
      </c>
      <c r="F9" s="5"/>
      <c r="G9" s="63">
        <f t="shared" si="0"/>
        <v>200000</v>
      </c>
      <c r="H9" s="5"/>
      <c r="J9" s="79" t="s">
        <v>96</v>
      </c>
      <c r="K9" s="81">
        <f t="shared" si="1"/>
        <v>200000</v>
      </c>
    </row>
    <row r="10" spans="2:11" x14ac:dyDescent="0.3">
      <c r="B10" s="79" t="s">
        <v>136</v>
      </c>
      <c r="C10" s="5"/>
      <c r="D10" s="5"/>
      <c r="E10" s="63">
        <v>200000</v>
      </c>
      <c r="F10" s="5"/>
      <c r="G10" s="63">
        <f t="shared" si="0"/>
        <v>200000</v>
      </c>
      <c r="H10" s="5"/>
      <c r="J10" s="79" t="s">
        <v>136</v>
      </c>
      <c r="K10" s="81">
        <f t="shared" si="1"/>
        <v>200000</v>
      </c>
    </row>
    <row r="11" spans="2:11" x14ac:dyDescent="0.3">
      <c r="B11" s="79" t="s">
        <v>98</v>
      </c>
      <c r="C11" s="5"/>
      <c r="D11" s="5"/>
      <c r="E11" s="63">
        <v>200000</v>
      </c>
      <c r="F11" s="5"/>
      <c r="G11" s="63">
        <f t="shared" si="0"/>
        <v>200000</v>
      </c>
      <c r="H11" s="5"/>
      <c r="J11" s="79" t="s">
        <v>98</v>
      </c>
      <c r="K11" s="81">
        <f t="shared" si="1"/>
        <v>200000</v>
      </c>
    </row>
    <row r="12" spans="2:11" x14ac:dyDescent="0.3">
      <c r="B12" s="79" t="s">
        <v>100</v>
      </c>
      <c r="C12" s="5"/>
      <c r="D12" s="5"/>
      <c r="E12" s="63">
        <v>200000</v>
      </c>
      <c r="F12" s="5"/>
      <c r="G12" s="63">
        <f t="shared" si="0"/>
        <v>200000</v>
      </c>
      <c r="H12" s="5"/>
      <c r="J12" s="79" t="s">
        <v>100</v>
      </c>
      <c r="K12" s="81">
        <f t="shared" si="1"/>
        <v>200000</v>
      </c>
    </row>
    <row r="13" spans="2:11" x14ac:dyDescent="0.3">
      <c r="B13" s="79" t="s">
        <v>102</v>
      </c>
      <c r="C13" s="5"/>
      <c r="D13" s="5"/>
      <c r="E13" s="63">
        <v>200000</v>
      </c>
      <c r="F13" s="5"/>
      <c r="G13" s="63">
        <f t="shared" si="0"/>
        <v>200000</v>
      </c>
      <c r="H13" s="5"/>
      <c r="J13" s="79" t="s">
        <v>102</v>
      </c>
      <c r="K13" s="81">
        <f t="shared" si="1"/>
        <v>200000</v>
      </c>
    </row>
    <row r="14" spans="2:11" x14ac:dyDescent="0.3">
      <c r="B14" s="79" t="s">
        <v>104</v>
      </c>
      <c r="C14" s="5"/>
      <c r="D14" s="5"/>
      <c r="E14" s="63">
        <v>200000</v>
      </c>
      <c r="F14" s="5"/>
      <c r="G14" s="63">
        <f t="shared" si="0"/>
        <v>200000</v>
      </c>
      <c r="H14" s="5"/>
      <c r="J14" s="79" t="s">
        <v>104</v>
      </c>
      <c r="K14" s="81">
        <f t="shared" si="1"/>
        <v>200000</v>
      </c>
    </row>
    <row r="15" spans="2:11" x14ac:dyDescent="0.3">
      <c r="B15" s="79" t="s">
        <v>106</v>
      </c>
      <c r="C15" s="5"/>
      <c r="D15" s="5"/>
      <c r="E15" s="63">
        <v>200000</v>
      </c>
      <c r="F15" s="5"/>
      <c r="G15" s="63">
        <f t="shared" si="0"/>
        <v>200000</v>
      </c>
      <c r="H15" s="5"/>
      <c r="J15" s="79" t="s">
        <v>106</v>
      </c>
      <c r="K15" s="81">
        <f t="shared" si="1"/>
        <v>200000</v>
      </c>
    </row>
    <row r="16" spans="2:11" x14ac:dyDescent="0.3">
      <c r="B16" s="79" t="s">
        <v>108</v>
      </c>
      <c r="C16" s="5"/>
      <c r="D16" s="5"/>
      <c r="E16" s="63">
        <v>200000</v>
      </c>
      <c r="F16" s="5"/>
      <c r="G16" s="63">
        <f t="shared" si="0"/>
        <v>200000</v>
      </c>
      <c r="H16" s="5"/>
      <c r="J16" s="79" t="s">
        <v>108</v>
      </c>
      <c r="K16" s="81">
        <f t="shared" si="1"/>
        <v>200000</v>
      </c>
    </row>
    <row r="17" spans="2:11" x14ac:dyDescent="0.3">
      <c r="B17" s="79" t="s">
        <v>110</v>
      </c>
      <c r="C17" s="5"/>
      <c r="D17" s="5"/>
      <c r="E17" s="63">
        <v>200000</v>
      </c>
      <c r="F17" s="5"/>
      <c r="G17" s="63">
        <f t="shared" si="0"/>
        <v>200000</v>
      </c>
      <c r="H17" s="5"/>
      <c r="J17" s="79" t="s">
        <v>110</v>
      </c>
      <c r="K17" s="81">
        <f t="shared" si="1"/>
        <v>200000</v>
      </c>
    </row>
    <row r="18" spans="2:11" x14ac:dyDescent="0.3">
      <c r="B18" s="79" t="s">
        <v>112</v>
      </c>
      <c r="C18" s="5"/>
      <c r="D18" s="5"/>
      <c r="E18" s="63">
        <v>200000</v>
      </c>
      <c r="F18" s="5"/>
      <c r="G18" s="63">
        <f t="shared" si="0"/>
        <v>200000</v>
      </c>
      <c r="H18" s="5"/>
      <c r="J18" s="79" t="s">
        <v>112</v>
      </c>
      <c r="K18" s="81">
        <f t="shared" si="1"/>
        <v>200000</v>
      </c>
    </row>
    <row r="19" spans="2:11" x14ac:dyDescent="0.3">
      <c r="B19" s="79" t="s">
        <v>114</v>
      </c>
      <c r="C19" s="5"/>
      <c r="D19" s="5"/>
      <c r="E19" s="63">
        <v>200000</v>
      </c>
      <c r="F19" s="5"/>
      <c r="G19" s="63">
        <f t="shared" si="0"/>
        <v>200000</v>
      </c>
      <c r="H19" s="5"/>
      <c r="J19" s="79" t="s">
        <v>114</v>
      </c>
      <c r="K19" s="81">
        <f t="shared" si="1"/>
        <v>200000</v>
      </c>
    </row>
    <row r="20" spans="2:11" x14ac:dyDescent="0.3">
      <c r="B20" s="79" t="s">
        <v>116</v>
      </c>
      <c r="C20" s="5"/>
      <c r="D20" s="5"/>
      <c r="E20" s="63">
        <v>200000</v>
      </c>
      <c r="F20" s="5"/>
      <c r="G20" s="63">
        <f t="shared" si="0"/>
        <v>200000</v>
      </c>
      <c r="H20" s="5"/>
      <c r="J20" s="79" t="s">
        <v>116</v>
      </c>
      <c r="K20" s="81">
        <f t="shared" si="1"/>
        <v>200000</v>
      </c>
    </row>
    <row r="21" spans="2:11" x14ac:dyDescent="0.3">
      <c r="B21" s="8"/>
      <c r="C21" s="5"/>
      <c r="D21" s="5"/>
      <c r="E21" s="63"/>
      <c r="F21" s="5"/>
      <c r="G21" s="63"/>
      <c r="H21" s="5"/>
    </row>
    <row r="22" spans="2:11" x14ac:dyDescent="0.3">
      <c r="B22" s="8"/>
      <c r="C22" s="5"/>
      <c r="D22" s="5"/>
      <c r="E22" s="63"/>
      <c r="F22" s="5"/>
      <c r="G22" s="63"/>
      <c r="H22" s="5"/>
    </row>
    <row r="23" spans="2:11" x14ac:dyDescent="0.3">
      <c r="B23" s="8"/>
      <c r="C23" s="5"/>
      <c r="D23" s="5"/>
      <c r="E23" s="63"/>
      <c r="F23" s="5"/>
      <c r="G23" s="63"/>
      <c r="H23" s="5"/>
    </row>
    <row r="24" spans="2:11" x14ac:dyDescent="0.3">
      <c r="B24" s="8"/>
      <c r="C24" s="5"/>
      <c r="D24" s="5"/>
      <c r="E24" s="63"/>
      <c r="F24" s="5"/>
      <c r="G24" s="63"/>
      <c r="H24" s="5"/>
    </row>
    <row r="25" spans="2:11" x14ac:dyDescent="0.3">
      <c r="B25" s="8"/>
      <c r="C25" s="5"/>
      <c r="D25" s="5"/>
      <c r="E25" s="63"/>
      <c r="F25" s="5"/>
      <c r="G25" s="63"/>
      <c r="H25" s="5"/>
    </row>
    <row r="26" spans="2:11" x14ac:dyDescent="0.3">
      <c r="B26" s="8"/>
      <c r="C26" s="5"/>
      <c r="D26" s="5"/>
      <c r="E26" s="63"/>
      <c r="F26" s="5"/>
      <c r="G26" s="63"/>
      <c r="H26" s="5"/>
    </row>
    <row r="27" spans="2:11" x14ac:dyDescent="0.3">
      <c r="B27" s="8"/>
      <c r="C27" s="5"/>
      <c r="D27" s="5"/>
      <c r="E27" s="63"/>
      <c r="F27" s="5"/>
      <c r="G27" s="63"/>
      <c r="H27" s="5"/>
    </row>
    <row r="28" spans="2:11" x14ac:dyDescent="0.3">
      <c r="B28" s="8"/>
      <c r="C28" s="5"/>
      <c r="D28" s="5"/>
      <c r="E28" s="63"/>
      <c r="F28" s="5"/>
      <c r="G28" s="63"/>
      <c r="H28" s="5"/>
    </row>
    <row r="29" spans="2:11" x14ac:dyDescent="0.3">
      <c r="B29" s="8"/>
      <c r="C29" s="5"/>
      <c r="D29" s="5"/>
      <c r="E29" s="63"/>
      <c r="F29" s="5"/>
      <c r="G29" s="63"/>
      <c r="H29" s="5"/>
    </row>
    <row r="30" spans="2:11" x14ac:dyDescent="0.3">
      <c r="B30" s="8"/>
      <c r="C30" s="5"/>
      <c r="D30" s="5"/>
      <c r="E30" s="63"/>
      <c r="F30" s="5"/>
      <c r="G30" s="63"/>
      <c r="H30" s="5"/>
    </row>
    <row r="31" spans="2:11" x14ac:dyDescent="0.3">
      <c r="B31" s="8"/>
      <c r="C31" s="5"/>
      <c r="D31" s="5"/>
      <c r="E31" s="63"/>
      <c r="F31" s="5"/>
      <c r="G31" s="63"/>
      <c r="H31" s="5"/>
    </row>
    <row r="32" spans="2:11" x14ac:dyDescent="0.3">
      <c r="B32" s="8"/>
      <c r="C32" s="5"/>
      <c r="D32" s="5"/>
      <c r="E32" s="63"/>
      <c r="F32" s="5"/>
      <c r="G32" s="63"/>
      <c r="H32" s="5"/>
    </row>
    <row r="33" spans="2:8" x14ac:dyDescent="0.3">
      <c r="B33" s="8"/>
      <c r="C33" s="5"/>
      <c r="D33" s="5"/>
      <c r="E33" s="63"/>
      <c r="F33" s="5"/>
      <c r="G33" s="63"/>
      <c r="H33" s="5"/>
    </row>
    <row r="34" spans="2:8" x14ac:dyDescent="0.3">
      <c r="B34" s="8"/>
      <c r="C34" s="5"/>
      <c r="D34" s="5"/>
      <c r="E34" s="63"/>
      <c r="F34" s="5"/>
      <c r="G34" s="63"/>
      <c r="H34" s="5"/>
    </row>
    <row r="35" spans="2:8" x14ac:dyDescent="0.3">
      <c r="B35" s="8"/>
      <c r="C35" s="5"/>
      <c r="D35" s="5"/>
      <c r="E35" s="63"/>
      <c r="F35" s="5"/>
      <c r="G35" s="63"/>
      <c r="H35" s="5"/>
    </row>
    <row r="36" spans="2:8" x14ac:dyDescent="0.3">
      <c r="B36" s="8"/>
      <c r="C36" s="5"/>
      <c r="D36" s="5"/>
      <c r="E36" s="63"/>
      <c r="F36" s="5"/>
      <c r="G36" s="63"/>
      <c r="H36" s="5"/>
    </row>
    <row r="37" spans="2:8" x14ac:dyDescent="0.3">
      <c r="B37" s="8"/>
      <c r="C37" s="5"/>
      <c r="D37" s="5"/>
      <c r="E37" s="63"/>
      <c r="F37" s="5"/>
      <c r="G37" s="63"/>
      <c r="H37" s="5"/>
    </row>
    <row r="38" spans="2:8" x14ac:dyDescent="0.3">
      <c r="B38" s="8"/>
      <c r="C38" s="5"/>
      <c r="D38" s="5"/>
      <c r="E38" s="63"/>
      <c r="F38" s="5"/>
      <c r="G38" s="63"/>
      <c r="H38" s="5"/>
    </row>
    <row r="39" spans="2:8" x14ac:dyDescent="0.3">
      <c r="B39" s="8"/>
      <c r="C39" s="5"/>
      <c r="D39" s="5"/>
      <c r="E39" s="63"/>
      <c r="F39" s="5"/>
      <c r="G39" s="63"/>
      <c r="H39" s="5"/>
    </row>
    <row r="40" spans="2:8" x14ac:dyDescent="0.3">
      <c r="B40" s="8"/>
      <c r="C40" s="5"/>
      <c r="D40" s="5"/>
      <c r="E40" s="63"/>
      <c r="F40" s="5"/>
      <c r="G40" s="63"/>
      <c r="H40" s="5"/>
    </row>
    <row r="41" spans="2:8" x14ac:dyDescent="0.3">
      <c r="B41" s="8"/>
      <c r="C41" s="5"/>
      <c r="D41" s="5"/>
      <c r="E41" s="63"/>
      <c r="F41" s="5"/>
      <c r="G41" s="63"/>
      <c r="H41" s="5"/>
    </row>
    <row r="42" spans="2:8" x14ac:dyDescent="0.3">
      <c r="B42" s="8"/>
      <c r="C42" s="5"/>
      <c r="D42" s="5"/>
      <c r="E42" s="63"/>
      <c r="F42" s="5"/>
      <c r="G42" s="63"/>
      <c r="H42" s="5"/>
    </row>
    <row r="43" spans="2:8" x14ac:dyDescent="0.3">
      <c r="B43" s="8"/>
      <c r="C43" s="5"/>
      <c r="D43" s="5"/>
      <c r="E43" s="63"/>
      <c r="F43" s="5"/>
      <c r="G43" s="63"/>
      <c r="H43" s="5"/>
    </row>
    <row r="44" spans="2:8" x14ac:dyDescent="0.3">
      <c r="B44" s="8"/>
      <c r="C44" s="5"/>
      <c r="D44" s="5"/>
      <c r="E44" s="63"/>
      <c r="F44" s="5"/>
      <c r="G44" s="63"/>
      <c r="H44" s="5"/>
    </row>
    <row r="45" spans="2:8" x14ac:dyDescent="0.3">
      <c r="B45" s="8"/>
      <c r="C45" s="5"/>
      <c r="D45" s="5"/>
      <c r="E45" s="63"/>
      <c r="F45" s="5"/>
      <c r="G45" s="63"/>
      <c r="H45" s="5"/>
    </row>
    <row r="46" spans="2:8" x14ac:dyDescent="0.3">
      <c r="B46" s="8"/>
      <c r="C46" s="5"/>
      <c r="D46" s="5"/>
      <c r="E46" s="63"/>
      <c r="F46" s="5"/>
      <c r="G46" s="63"/>
      <c r="H46" s="5"/>
    </row>
    <row r="47" spans="2:8" x14ac:dyDescent="0.3">
      <c r="B47" s="8"/>
      <c r="C47" s="5"/>
      <c r="D47" s="5"/>
      <c r="E47" s="63"/>
      <c r="F47" s="5"/>
      <c r="G47" s="63"/>
      <c r="H47" s="5"/>
    </row>
    <row r="48" spans="2:8" x14ac:dyDescent="0.3">
      <c r="B48" s="8"/>
      <c r="C48" s="5"/>
      <c r="D48" s="5"/>
      <c r="E48" s="63"/>
      <c r="F48" s="5"/>
      <c r="G48" s="63"/>
      <c r="H48" s="5"/>
    </row>
    <row r="49" spans="2:8" x14ac:dyDescent="0.3">
      <c r="B49" s="8"/>
      <c r="C49" s="5"/>
      <c r="D49" s="5"/>
      <c r="E49" s="63"/>
      <c r="F49" s="5"/>
      <c r="G49" s="63"/>
      <c r="H49" s="5"/>
    </row>
    <row r="50" spans="2:8" x14ac:dyDescent="0.3">
      <c r="B50" s="8"/>
      <c r="C50" s="5"/>
      <c r="D50" s="5"/>
      <c r="E50" s="63"/>
      <c r="F50" s="5"/>
      <c r="G50" s="63"/>
      <c r="H50" s="5"/>
    </row>
    <row r="51" spans="2:8" x14ac:dyDescent="0.3">
      <c r="B51" s="8"/>
      <c r="C51" s="5"/>
      <c r="D51" s="5"/>
      <c r="E51" s="63"/>
      <c r="F51" s="5"/>
      <c r="G51" s="63"/>
      <c r="H51" s="5"/>
    </row>
    <row r="52" spans="2:8" x14ac:dyDescent="0.3">
      <c r="B52" s="8"/>
      <c r="C52" s="5"/>
      <c r="D52" s="5"/>
      <c r="E52" s="63"/>
      <c r="F52" s="5"/>
      <c r="G52" s="63"/>
      <c r="H52" s="5"/>
    </row>
    <row r="53" spans="2:8" x14ac:dyDescent="0.3">
      <c r="B53" s="8"/>
      <c r="C53" s="5"/>
      <c r="D53" s="5"/>
      <c r="E53" s="63"/>
      <c r="F53" s="5"/>
      <c r="G53" s="63"/>
      <c r="H53" s="5"/>
    </row>
    <row r="54" spans="2:8" x14ac:dyDescent="0.3">
      <c r="B54" s="77" t="s">
        <v>78</v>
      </c>
      <c r="C54" s="78"/>
      <c r="D54" s="6"/>
      <c r="E54" s="66">
        <f>SUM(E7:E53)</f>
        <v>2800000</v>
      </c>
      <c r="F54" s="3"/>
      <c r="G54" s="67">
        <f>SUM(G7:G53)</f>
        <v>2800000</v>
      </c>
    </row>
  </sheetData>
  <mergeCells count="2">
    <mergeCell ref="B54:C54"/>
    <mergeCell ref="G2:H4"/>
  </mergeCells>
  <pageMargins left="0.23622047244094491" right="0.23622047244094491" top="0.74803149606299213" bottom="0.74803149606299213" header="0.31496062992125984" footer="0.31496062992125984"/>
  <pageSetup paperSize="9" scale="78" fitToHeight="0" orientation="portrait"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7419-81DE-46BE-BD93-D3C85136F85F}">
  <dimension ref="A2:E16"/>
  <sheetViews>
    <sheetView workbookViewId="0">
      <selection activeCell="C3" sqref="C3:C16"/>
    </sheetView>
  </sheetViews>
  <sheetFormatPr defaultRowHeight="14.4" x14ac:dyDescent="0.3"/>
  <cols>
    <col min="3" max="3" width="29.6640625" bestFit="1" customWidth="1"/>
    <col min="4" max="4" width="79.21875" bestFit="1" customWidth="1"/>
    <col min="5" max="5" width="59.77734375" bestFit="1" customWidth="1"/>
  </cols>
  <sheetData>
    <row r="2" spans="1:5" x14ac:dyDescent="0.3">
      <c r="B2" s="6" t="s">
        <v>133</v>
      </c>
      <c r="C2" s="6" t="s">
        <v>89</v>
      </c>
      <c r="D2" s="6" t="s">
        <v>92</v>
      </c>
      <c r="E2" s="6" t="s">
        <v>93</v>
      </c>
    </row>
    <row r="3" spans="1:5" x14ac:dyDescent="0.3">
      <c r="A3" s="5">
        <v>1</v>
      </c>
      <c r="B3" s="18" t="s">
        <v>90</v>
      </c>
      <c r="C3" s="5" t="s">
        <v>91</v>
      </c>
      <c r="D3" s="5" t="s">
        <v>118</v>
      </c>
      <c r="E3" s="5"/>
    </row>
    <row r="4" spans="1:5" x14ac:dyDescent="0.3">
      <c r="A4" s="5">
        <v>2</v>
      </c>
      <c r="B4" s="18" t="s">
        <v>94</v>
      </c>
      <c r="C4" s="5" t="s">
        <v>95</v>
      </c>
      <c r="D4" s="5" t="s">
        <v>119</v>
      </c>
      <c r="E4" s="5" t="s">
        <v>120</v>
      </c>
    </row>
    <row r="5" spans="1:5" x14ac:dyDescent="0.3">
      <c r="A5" s="5">
        <v>3</v>
      </c>
      <c r="B5" s="18" t="s">
        <v>96</v>
      </c>
      <c r="C5" s="5" t="s">
        <v>97</v>
      </c>
      <c r="D5" s="5" t="s">
        <v>121</v>
      </c>
      <c r="E5" s="5" t="s">
        <v>122</v>
      </c>
    </row>
    <row r="6" spans="1:5" x14ac:dyDescent="0.3">
      <c r="A6" s="5">
        <v>4</v>
      </c>
      <c r="B6" s="18" t="s">
        <v>136</v>
      </c>
      <c r="C6" s="5" t="s">
        <v>137</v>
      </c>
      <c r="D6" s="5" t="s">
        <v>138</v>
      </c>
      <c r="E6" s="5" t="s">
        <v>139</v>
      </c>
    </row>
    <row r="7" spans="1:5" x14ac:dyDescent="0.3">
      <c r="A7" s="5">
        <v>5</v>
      </c>
      <c r="B7" s="18" t="s">
        <v>98</v>
      </c>
      <c r="C7" s="5" t="s">
        <v>99</v>
      </c>
      <c r="D7" s="5" t="s">
        <v>123</v>
      </c>
      <c r="E7" s="5" t="s">
        <v>124</v>
      </c>
    </row>
    <row r="8" spans="1:5" x14ac:dyDescent="0.3">
      <c r="A8" s="5">
        <v>6</v>
      </c>
      <c r="B8" s="18" t="s">
        <v>100</v>
      </c>
      <c r="C8" s="5" t="s">
        <v>101</v>
      </c>
      <c r="D8" s="5" t="s">
        <v>135</v>
      </c>
      <c r="E8" s="5" t="s">
        <v>134</v>
      </c>
    </row>
    <row r="9" spans="1:5" x14ac:dyDescent="0.3">
      <c r="A9" s="5">
        <v>7</v>
      </c>
      <c r="B9" s="18" t="s">
        <v>102</v>
      </c>
      <c r="C9" s="5" t="s">
        <v>103</v>
      </c>
      <c r="D9" s="5" t="s">
        <v>125</v>
      </c>
      <c r="E9" s="5" t="s">
        <v>126</v>
      </c>
    </row>
    <row r="10" spans="1:5" x14ac:dyDescent="0.3">
      <c r="A10" s="5">
        <v>8</v>
      </c>
      <c r="B10" s="18" t="s">
        <v>104</v>
      </c>
      <c r="C10" s="5" t="s">
        <v>105</v>
      </c>
      <c r="D10" s="5" t="s">
        <v>127</v>
      </c>
      <c r="E10" s="5" t="s">
        <v>128</v>
      </c>
    </row>
    <row r="11" spans="1:5" x14ac:dyDescent="0.3">
      <c r="A11" s="5">
        <v>9</v>
      </c>
      <c r="B11" s="18" t="s">
        <v>106</v>
      </c>
      <c r="C11" s="5" t="s">
        <v>107</v>
      </c>
      <c r="D11" s="5" t="s">
        <v>129</v>
      </c>
      <c r="E11" s="5" t="s">
        <v>130</v>
      </c>
    </row>
    <row r="12" spans="1:5" x14ac:dyDescent="0.3">
      <c r="A12" s="5">
        <v>10</v>
      </c>
      <c r="B12" s="18" t="s">
        <v>108</v>
      </c>
      <c r="C12" s="5" t="s">
        <v>109</v>
      </c>
      <c r="D12" s="5" t="s">
        <v>142</v>
      </c>
      <c r="E12" s="5"/>
    </row>
    <row r="13" spans="1:5" x14ac:dyDescent="0.3">
      <c r="A13" s="5">
        <v>11</v>
      </c>
      <c r="B13" s="18" t="s">
        <v>110</v>
      </c>
      <c r="C13" s="5" t="s">
        <v>111</v>
      </c>
      <c r="D13" s="5" t="s">
        <v>140</v>
      </c>
      <c r="E13" s="5"/>
    </row>
    <row r="14" spans="1:5" x14ac:dyDescent="0.3">
      <c r="A14" s="5">
        <v>12</v>
      </c>
      <c r="B14" s="18" t="s">
        <v>112</v>
      </c>
      <c r="C14" s="5" t="s">
        <v>113</v>
      </c>
      <c r="D14" s="5" t="s">
        <v>141</v>
      </c>
      <c r="E14" s="5"/>
    </row>
    <row r="15" spans="1:5" x14ac:dyDescent="0.3">
      <c r="A15" s="5">
        <v>13</v>
      </c>
      <c r="B15" s="18" t="s">
        <v>114</v>
      </c>
      <c r="C15" s="5" t="s">
        <v>115</v>
      </c>
      <c r="D15" s="5" t="s">
        <v>131</v>
      </c>
      <c r="E15" s="5"/>
    </row>
    <row r="16" spans="1:5" x14ac:dyDescent="0.3">
      <c r="A16" s="5">
        <v>14</v>
      </c>
      <c r="B16" s="18" t="s">
        <v>116</v>
      </c>
      <c r="C16" s="5" t="s">
        <v>117</v>
      </c>
      <c r="D16" s="5" t="s">
        <v>132</v>
      </c>
      <c r="E16"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CE17-3DEF-460B-8892-70B47F48221D}">
  <dimension ref="B2:F11"/>
  <sheetViews>
    <sheetView workbookViewId="0">
      <selection activeCell="E7" sqref="E7"/>
    </sheetView>
  </sheetViews>
  <sheetFormatPr defaultRowHeight="14.4" x14ac:dyDescent="0.3"/>
  <cols>
    <col min="2" max="2" width="13.5546875" bestFit="1" customWidth="1"/>
    <col min="3" max="3" width="22.109375" customWidth="1"/>
    <col min="4" max="4" width="19.88671875" customWidth="1"/>
    <col min="5" max="5" width="21.21875" customWidth="1"/>
    <col min="6" max="6" width="14.33203125" bestFit="1" customWidth="1"/>
  </cols>
  <sheetData>
    <row r="2" spans="2:6" x14ac:dyDescent="0.3">
      <c r="B2" s="68" t="s">
        <v>84</v>
      </c>
      <c r="C2" s="5" t="s">
        <v>79</v>
      </c>
    </row>
    <row r="3" spans="2:6" x14ac:dyDescent="0.3">
      <c r="B3" s="68" t="s">
        <v>80</v>
      </c>
      <c r="C3" s="5" t="s">
        <v>81</v>
      </c>
    </row>
    <row r="4" spans="2:6" x14ac:dyDescent="0.3">
      <c r="B4" s="68" t="s">
        <v>85</v>
      </c>
      <c r="C4" s="5"/>
    </row>
    <row r="6" spans="2:6" x14ac:dyDescent="0.3">
      <c r="B6" s="3" t="s">
        <v>133</v>
      </c>
      <c r="C6" s="3" t="s">
        <v>5</v>
      </c>
      <c r="D6" s="66" t="s">
        <v>27</v>
      </c>
      <c r="E6" s="66" t="s">
        <v>10</v>
      </c>
      <c r="F6" s="66" t="s">
        <v>143</v>
      </c>
    </row>
    <row r="7" spans="2:6" x14ac:dyDescent="0.3">
      <c r="B7" s="5" t="s">
        <v>114</v>
      </c>
      <c r="C7" s="5"/>
      <c r="D7" s="63"/>
      <c r="E7" s="63"/>
      <c r="F7" s="5"/>
    </row>
    <row r="8" spans="2:6" x14ac:dyDescent="0.3">
      <c r="B8" s="5"/>
      <c r="C8" s="5"/>
      <c r="D8" s="63"/>
      <c r="E8" s="63"/>
      <c r="F8" s="5"/>
    </row>
    <row r="9" spans="2:6" x14ac:dyDescent="0.3">
      <c r="B9" s="5"/>
      <c r="C9" s="5"/>
      <c r="D9" s="63"/>
      <c r="E9" s="63"/>
      <c r="F9" s="5"/>
    </row>
    <row r="10" spans="2:6" x14ac:dyDescent="0.3">
      <c r="B10" s="5"/>
      <c r="C10" s="5"/>
      <c r="D10" s="63"/>
      <c r="E10" s="63"/>
      <c r="F10" s="5"/>
    </row>
    <row r="11" spans="2:6" x14ac:dyDescent="0.3">
      <c r="B11" s="5"/>
      <c r="C11" s="5"/>
      <c r="D11" s="63"/>
      <c r="E11" s="63"/>
      <c r="F11"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33E6-272C-4E65-9450-5A3075610FD6}">
  <dimension ref="B2:E26"/>
  <sheetViews>
    <sheetView workbookViewId="0">
      <selection activeCell="I32" sqref="I32"/>
    </sheetView>
  </sheetViews>
  <sheetFormatPr defaultRowHeight="14.4" x14ac:dyDescent="0.3"/>
  <cols>
    <col min="2" max="2" width="16.33203125" customWidth="1"/>
    <col min="3" max="3" width="20.5546875" customWidth="1"/>
    <col min="4" max="4" width="15" customWidth="1"/>
    <col min="5" max="5" width="14.5546875" customWidth="1"/>
  </cols>
  <sheetData>
    <row r="2" spans="2:5" x14ac:dyDescent="0.3">
      <c r="B2" s="68" t="s">
        <v>84</v>
      </c>
      <c r="C2" s="5" t="s">
        <v>79</v>
      </c>
    </row>
    <row r="3" spans="2:5" x14ac:dyDescent="0.3">
      <c r="B3" s="68" t="s">
        <v>80</v>
      </c>
      <c r="C3" s="5" t="s">
        <v>81</v>
      </c>
    </row>
    <row r="4" spans="2:5" x14ac:dyDescent="0.3">
      <c r="B4" s="68" t="s">
        <v>85</v>
      </c>
      <c r="C4" s="5"/>
    </row>
    <row r="6" spans="2:5" s="2" customFormat="1" x14ac:dyDescent="0.3">
      <c r="B6" s="6" t="s">
        <v>86</v>
      </c>
      <c r="C6" s="6" t="s">
        <v>6</v>
      </c>
      <c r="D6" s="6" t="s">
        <v>7</v>
      </c>
      <c r="E6" s="6" t="s">
        <v>87</v>
      </c>
    </row>
    <row r="7" spans="2:5" x14ac:dyDescent="0.3">
      <c r="B7" s="5"/>
      <c r="C7" s="5"/>
      <c r="D7" s="5"/>
      <c r="E7" s="5"/>
    </row>
    <row r="8" spans="2:5" x14ac:dyDescent="0.3">
      <c r="B8" s="5"/>
      <c r="C8" s="5"/>
      <c r="D8" s="5"/>
      <c r="E8" s="5"/>
    </row>
    <row r="9" spans="2:5" x14ac:dyDescent="0.3">
      <c r="B9" s="5"/>
      <c r="C9" s="5"/>
      <c r="D9" s="5"/>
      <c r="E9" s="5"/>
    </row>
    <row r="10" spans="2:5" x14ac:dyDescent="0.3">
      <c r="B10" s="5"/>
      <c r="C10" s="5"/>
      <c r="D10" s="5"/>
      <c r="E10" s="5"/>
    </row>
    <row r="11" spans="2:5" x14ac:dyDescent="0.3">
      <c r="B11" s="5"/>
      <c r="C11" s="5"/>
      <c r="D11" s="5"/>
      <c r="E11" s="5"/>
    </row>
    <row r="12" spans="2:5" x14ac:dyDescent="0.3">
      <c r="B12" s="5"/>
      <c r="C12" s="5"/>
      <c r="D12" s="5"/>
      <c r="E12" s="5"/>
    </row>
    <row r="13" spans="2:5" x14ac:dyDescent="0.3">
      <c r="B13" s="5"/>
      <c r="C13" s="5"/>
      <c r="D13" s="5"/>
      <c r="E13" s="5"/>
    </row>
    <row r="14" spans="2:5" x14ac:dyDescent="0.3">
      <c r="B14" s="5"/>
      <c r="C14" s="5"/>
      <c r="D14" s="5"/>
      <c r="E14" s="5"/>
    </row>
    <row r="15" spans="2:5" x14ac:dyDescent="0.3">
      <c r="B15" s="5"/>
      <c r="C15" s="5"/>
      <c r="D15" s="5"/>
      <c r="E15" s="5"/>
    </row>
    <row r="16" spans="2:5" x14ac:dyDescent="0.3">
      <c r="B16" s="5"/>
      <c r="C16" s="5"/>
      <c r="D16" s="5"/>
      <c r="E16" s="5"/>
    </row>
    <row r="17" spans="2:5" x14ac:dyDescent="0.3">
      <c r="B17" s="5"/>
      <c r="C17" s="5"/>
      <c r="D17" s="5"/>
      <c r="E17" s="5"/>
    </row>
    <row r="18" spans="2:5" x14ac:dyDescent="0.3">
      <c r="B18" s="5"/>
      <c r="C18" s="5"/>
      <c r="D18" s="5"/>
      <c r="E18" s="5"/>
    </row>
    <row r="19" spans="2:5" x14ac:dyDescent="0.3">
      <c r="B19" s="5"/>
      <c r="C19" s="5"/>
      <c r="D19" s="5"/>
      <c r="E19" s="5"/>
    </row>
    <row r="20" spans="2:5" x14ac:dyDescent="0.3">
      <c r="B20" s="5"/>
      <c r="C20" s="5"/>
      <c r="D20" s="5"/>
      <c r="E20" s="5"/>
    </row>
    <row r="21" spans="2:5" x14ac:dyDescent="0.3">
      <c r="B21" s="5"/>
      <c r="C21" s="5"/>
      <c r="D21" s="5"/>
      <c r="E21" s="5"/>
    </row>
    <row r="22" spans="2:5" x14ac:dyDescent="0.3">
      <c r="B22" s="5"/>
      <c r="C22" s="5"/>
      <c r="D22" s="5"/>
      <c r="E22" s="5"/>
    </row>
    <row r="23" spans="2:5" x14ac:dyDescent="0.3">
      <c r="B23" s="5"/>
      <c r="C23" s="5"/>
      <c r="D23" s="5"/>
      <c r="E23" s="5"/>
    </row>
    <row r="24" spans="2:5" x14ac:dyDescent="0.3">
      <c r="B24" s="5"/>
      <c r="C24" s="5"/>
      <c r="D24" s="5"/>
      <c r="E24" s="5"/>
    </row>
    <row r="25" spans="2:5" x14ac:dyDescent="0.3">
      <c r="B25" s="5"/>
      <c r="C25" s="5"/>
      <c r="D25" s="5"/>
      <c r="E25" s="5"/>
    </row>
    <row r="26" spans="2:5" x14ac:dyDescent="0.3">
      <c r="B26" s="5"/>
      <c r="C26" s="5"/>
      <c r="D26" s="5"/>
      <c r="E2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49F4-ED6C-47FA-9DBA-B2E7B5A9F7A7}">
  <sheetPr>
    <pageSetUpPr fitToPage="1"/>
  </sheetPr>
  <dimension ref="B2:G49"/>
  <sheetViews>
    <sheetView view="pageBreakPreview" zoomScaleNormal="100" zoomScaleSheetLayoutView="100" workbookViewId="0">
      <selection activeCell="G20" sqref="G20"/>
    </sheetView>
  </sheetViews>
  <sheetFormatPr defaultRowHeight="14.4" x14ac:dyDescent="0.3"/>
  <cols>
    <col min="2" max="2" width="7.77734375" customWidth="1"/>
    <col min="3" max="3" width="42.44140625" customWidth="1"/>
    <col min="4" max="4" width="11.44140625" customWidth="1"/>
    <col min="5" max="5" width="7.109375" customWidth="1"/>
    <col min="6" max="6" width="12.109375" customWidth="1"/>
    <col min="7" max="7" width="17.33203125" customWidth="1"/>
  </cols>
  <sheetData>
    <row r="2" spans="2:7" ht="14.4" customHeight="1" x14ac:dyDescent="0.3">
      <c r="B2" s="25" t="s">
        <v>67</v>
      </c>
      <c r="C2" s="26"/>
      <c r="D2" s="27"/>
      <c r="E2" s="31" t="s">
        <v>63</v>
      </c>
      <c r="F2" s="32"/>
      <c r="G2" s="33"/>
    </row>
    <row r="3" spans="2:7" ht="14.4" customHeight="1" x14ac:dyDescent="0.3">
      <c r="B3" s="28"/>
      <c r="C3" s="29"/>
      <c r="D3" s="30"/>
      <c r="E3" s="34"/>
      <c r="F3" s="35"/>
      <c r="G3" s="36"/>
    </row>
    <row r="4" spans="2:7" ht="14.4" customHeight="1" x14ac:dyDescent="0.3">
      <c r="B4" s="28"/>
      <c r="C4" s="29"/>
      <c r="D4" s="30"/>
      <c r="E4" s="37"/>
      <c r="F4" s="38"/>
      <c r="G4" s="39"/>
    </row>
    <row r="5" spans="2:7" x14ac:dyDescent="0.3">
      <c r="B5" s="28"/>
      <c r="C5" s="29"/>
      <c r="D5" s="30"/>
      <c r="E5" s="5" t="s">
        <v>64</v>
      </c>
      <c r="F5" s="8"/>
      <c r="G5" s="8" t="s">
        <v>74</v>
      </c>
    </row>
    <row r="6" spans="2:7" x14ac:dyDescent="0.3">
      <c r="B6" s="28"/>
      <c r="C6" s="29"/>
      <c r="D6" s="30"/>
      <c r="E6" s="5" t="s">
        <v>65</v>
      </c>
      <c r="F6" s="8"/>
      <c r="G6" s="8"/>
    </row>
    <row r="7" spans="2:7" x14ac:dyDescent="0.3">
      <c r="B7" s="16" t="s">
        <v>62</v>
      </c>
      <c r="C7" s="23"/>
      <c r="D7" s="23"/>
      <c r="E7" s="24" t="s">
        <v>24</v>
      </c>
      <c r="F7" s="24"/>
      <c r="G7" s="9"/>
    </row>
    <row r="9" spans="2:7" x14ac:dyDescent="0.3">
      <c r="B9" s="3" t="s">
        <v>8</v>
      </c>
      <c r="C9" s="3" t="s">
        <v>9</v>
      </c>
      <c r="D9" s="3" t="s">
        <v>13</v>
      </c>
      <c r="E9" s="3" t="s">
        <v>10</v>
      </c>
      <c r="F9" s="3" t="s">
        <v>12</v>
      </c>
      <c r="G9" s="3" t="s">
        <v>11</v>
      </c>
    </row>
    <row r="10" spans="2:7" x14ac:dyDescent="0.3">
      <c r="B10" s="5"/>
      <c r="C10" s="5"/>
      <c r="D10" s="5"/>
      <c r="E10" s="5"/>
      <c r="F10" s="5"/>
      <c r="G10" s="5"/>
    </row>
    <row r="11" spans="2:7" x14ac:dyDescent="0.3">
      <c r="B11" s="5"/>
      <c r="C11" s="5"/>
      <c r="D11" s="5"/>
      <c r="E11" s="5"/>
      <c r="F11" s="5"/>
      <c r="G11" s="5"/>
    </row>
    <row r="12" spans="2:7" x14ac:dyDescent="0.3">
      <c r="B12" s="5"/>
      <c r="C12" s="5"/>
      <c r="D12" s="5"/>
      <c r="E12" s="5"/>
      <c r="F12" s="5"/>
      <c r="G12" s="5"/>
    </row>
    <row r="13" spans="2:7" x14ac:dyDescent="0.3">
      <c r="B13" s="5"/>
      <c r="C13" s="5"/>
      <c r="D13" s="5"/>
      <c r="E13" s="5"/>
      <c r="F13" s="5"/>
      <c r="G13" s="5"/>
    </row>
    <row r="14" spans="2:7" x14ac:dyDescent="0.3">
      <c r="B14" s="5"/>
      <c r="C14" s="5"/>
      <c r="D14" s="5"/>
      <c r="E14" s="5"/>
      <c r="F14" s="5"/>
      <c r="G14" s="5"/>
    </row>
    <row r="15" spans="2:7" x14ac:dyDescent="0.3">
      <c r="B15" s="5"/>
      <c r="C15" s="5"/>
      <c r="D15" s="5"/>
      <c r="E15" s="5"/>
      <c r="F15" s="5"/>
      <c r="G15" s="5"/>
    </row>
    <row r="16" spans="2:7" x14ac:dyDescent="0.3">
      <c r="B16" s="5"/>
      <c r="C16" s="5"/>
      <c r="D16" s="5"/>
      <c r="E16" s="5"/>
      <c r="F16" s="5"/>
      <c r="G16" s="5"/>
    </row>
    <row r="17" spans="2:7" x14ac:dyDescent="0.3">
      <c r="B17" s="5"/>
      <c r="C17" s="5"/>
      <c r="D17" s="5"/>
      <c r="E17" s="5"/>
      <c r="F17" s="5"/>
      <c r="G17" s="5"/>
    </row>
    <row r="18" spans="2:7" x14ac:dyDescent="0.3">
      <c r="B18" s="5"/>
      <c r="C18" s="5"/>
      <c r="D18" s="5"/>
      <c r="E18" s="5"/>
      <c r="F18" s="5"/>
      <c r="G18" s="5"/>
    </row>
    <row r="19" spans="2:7" x14ac:dyDescent="0.3">
      <c r="B19" s="5"/>
      <c r="C19" s="5"/>
      <c r="D19" s="5"/>
      <c r="E19" s="5"/>
      <c r="F19" s="5"/>
      <c r="G19" s="5"/>
    </row>
    <row r="20" spans="2:7" x14ac:dyDescent="0.3">
      <c r="B20" s="5"/>
      <c r="C20" s="5"/>
      <c r="D20" s="5"/>
      <c r="E20" s="5"/>
      <c r="F20" s="5"/>
      <c r="G20" s="5"/>
    </row>
    <row r="21" spans="2:7" x14ac:dyDescent="0.3">
      <c r="B21" s="5"/>
      <c r="C21" s="5"/>
      <c r="D21" s="5"/>
      <c r="E21" s="5"/>
      <c r="F21" s="5"/>
      <c r="G21" s="5"/>
    </row>
    <row r="22" spans="2:7" x14ac:dyDescent="0.3">
      <c r="B22" s="5"/>
      <c r="C22" s="5"/>
      <c r="D22" s="5"/>
      <c r="E22" s="5"/>
      <c r="F22" s="5"/>
      <c r="G22" s="5"/>
    </row>
    <row r="23" spans="2:7" x14ac:dyDescent="0.3">
      <c r="B23" s="5"/>
      <c r="C23" s="5"/>
      <c r="D23" s="5"/>
      <c r="E23" s="5"/>
      <c r="F23" s="5"/>
      <c r="G23" s="5"/>
    </row>
    <row r="24" spans="2:7" x14ac:dyDescent="0.3">
      <c r="B24" s="5"/>
      <c r="C24" s="5"/>
      <c r="D24" s="5"/>
      <c r="E24" s="5"/>
      <c r="F24" s="5"/>
      <c r="G24" s="5"/>
    </row>
    <row r="25" spans="2:7" x14ac:dyDescent="0.3">
      <c r="B25" s="5"/>
      <c r="C25" s="5"/>
      <c r="D25" s="5"/>
      <c r="E25" s="5"/>
      <c r="F25" s="5"/>
      <c r="G25" s="5"/>
    </row>
    <row r="44" spans="2:7" x14ac:dyDescent="0.3">
      <c r="B44" s="22" t="s">
        <v>66</v>
      </c>
      <c r="C44" s="22"/>
      <c r="D44" s="22"/>
      <c r="E44" s="20" t="s">
        <v>70</v>
      </c>
      <c r="F44" s="20"/>
      <c r="G44" s="64">
        <f>SUM(G10:G25)</f>
        <v>0</v>
      </c>
    </row>
    <row r="45" spans="2:7" x14ac:dyDescent="0.3">
      <c r="B45" s="23"/>
      <c r="C45" s="23"/>
      <c r="D45" s="23"/>
      <c r="E45" s="20" t="s">
        <v>69</v>
      </c>
      <c r="F45" s="20"/>
      <c r="G45" s="64">
        <f>G44*5%</f>
        <v>0</v>
      </c>
    </row>
    <row r="46" spans="2:7" x14ac:dyDescent="0.3">
      <c r="B46" s="23"/>
      <c r="C46" s="23"/>
      <c r="D46" s="23"/>
      <c r="E46" s="20" t="s">
        <v>30</v>
      </c>
      <c r="F46" s="20"/>
      <c r="G46" s="64">
        <f>G44-G45</f>
        <v>0</v>
      </c>
    </row>
    <row r="47" spans="2:7" x14ac:dyDescent="0.3">
      <c r="B47" s="23"/>
      <c r="C47" s="23"/>
      <c r="D47" s="23"/>
      <c r="E47" s="20" t="s">
        <v>32</v>
      </c>
      <c r="F47" s="20"/>
      <c r="G47" s="64">
        <f>G46*9%</f>
        <v>0</v>
      </c>
    </row>
    <row r="48" spans="2:7" x14ac:dyDescent="0.3">
      <c r="B48" s="23"/>
      <c r="C48" s="23"/>
      <c r="D48" s="23"/>
      <c r="E48" s="20" t="s">
        <v>31</v>
      </c>
      <c r="F48" s="20"/>
      <c r="G48" s="64">
        <f>G46*9%</f>
        <v>0</v>
      </c>
    </row>
    <row r="49" spans="2:7" x14ac:dyDescent="0.3">
      <c r="B49" s="23"/>
      <c r="C49" s="23"/>
      <c r="D49" s="23"/>
      <c r="E49" s="21" t="s">
        <v>58</v>
      </c>
      <c r="F49" s="21"/>
      <c r="G49" s="64">
        <f>G48+G47+G46</f>
        <v>0</v>
      </c>
    </row>
  </sheetData>
  <mergeCells count="20">
    <mergeCell ref="E7:F7"/>
    <mergeCell ref="B2:D2"/>
    <mergeCell ref="B3:D3"/>
    <mergeCell ref="B5:D5"/>
    <mergeCell ref="B6:D6"/>
    <mergeCell ref="C7:D7"/>
    <mergeCell ref="B4:D4"/>
    <mergeCell ref="E2:G4"/>
    <mergeCell ref="E44:F44"/>
    <mergeCell ref="E48:F48"/>
    <mergeCell ref="E49:F49"/>
    <mergeCell ref="B44:D44"/>
    <mergeCell ref="B45:D45"/>
    <mergeCell ref="B46:D46"/>
    <mergeCell ref="B47:D47"/>
    <mergeCell ref="E45:F45"/>
    <mergeCell ref="E46:F46"/>
    <mergeCell ref="E47:F47"/>
    <mergeCell ref="B48:D48"/>
    <mergeCell ref="B49:D49"/>
  </mergeCells>
  <pageMargins left="0.23622047244094491" right="0.23622047244094491" top="0.74803149606299213" bottom="0.74803149606299213" header="0.31496062992125984" footer="0.31496062992125984"/>
  <pageSetup paperSize="9" fitToHeight="0" orientation="portrait"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24A1-71E0-4DF6-8FA0-75C3BD20C678}">
  <sheetPr>
    <pageSetUpPr fitToPage="1"/>
  </sheetPr>
  <dimension ref="B2:F133"/>
  <sheetViews>
    <sheetView view="pageBreakPreview" topLeftCell="A88" zoomScaleNormal="100" zoomScaleSheetLayoutView="100" workbookViewId="0">
      <selection activeCell="D51" sqref="D51"/>
    </sheetView>
  </sheetViews>
  <sheetFormatPr defaultRowHeight="14.4" x14ac:dyDescent="0.3"/>
  <cols>
    <col min="1" max="1" width="5.21875" customWidth="1"/>
    <col min="2" max="2" width="9.77734375" customWidth="1"/>
    <col min="3" max="3" width="55.44140625" customWidth="1"/>
    <col min="4" max="4" width="12.88671875" customWidth="1"/>
    <col min="5" max="5" width="9.88671875" customWidth="1"/>
    <col min="6" max="6" width="18.44140625" customWidth="1"/>
  </cols>
  <sheetData>
    <row r="2" spans="2:6" x14ac:dyDescent="0.3">
      <c r="B2" s="55" t="s">
        <v>14</v>
      </c>
      <c r="C2" s="56"/>
      <c r="D2" s="31" t="s">
        <v>23</v>
      </c>
      <c r="E2" s="32"/>
      <c r="F2" s="32"/>
    </row>
    <row r="3" spans="2:6" x14ac:dyDescent="0.3">
      <c r="B3" s="45" t="s">
        <v>15</v>
      </c>
      <c r="C3" s="46"/>
      <c r="D3" s="37"/>
      <c r="E3" s="38"/>
      <c r="F3" s="38"/>
    </row>
    <row r="4" spans="2:6" x14ac:dyDescent="0.3">
      <c r="B4" s="45" t="s">
        <v>16</v>
      </c>
      <c r="C4" s="46"/>
      <c r="D4" s="69" t="s">
        <v>24</v>
      </c>
      <c r="E4" s="23" t="s">
        <v>73</v>
      </c>
      <c r="F4" s="23"/>
    </row>
    <row r="5" spans="2:6" x14ac:dyDescent="0.3">
      <c r="B5" s="45" t="s">
        <v>17</v>
      </c>
      <c r="C5" s="46"/>
      <c r="D5" s="69" t="s">
        <v>25</v>
      </c>
      <c r="E5" s="23"/>
      <c r="F5" s="23"/>
    </row>
    <row r="6" spans="2:6" x14ac:dyDescent="0.3">
      <c r="B6" s="13"/>
      <c r="C6" s="14"/>
      <c r="D6" s="69" t="s">
        <v>144</v>
      </c>
      <c r="E6" s="23" t="s">
        <v>90</v>
      </c>
      <c r="F6" s="23"/>
    </row>
    <row r="7" spans="2:6" x14ac:dyDescent="0.3">
      <c r="B7" s="19" t="s">
        <v>62</v>
      </c>
      <c r="C7" s="15"/>
      <c r="D7" s="69" t="s">
        <v>157</v>
      </c>
      <c r="E7" s="61" t="s">
        <v>55</v>
      </c>
      <c r="F7" s="62"/>
    </row>
    <row r="9" spans="2:6" x14ac:dyDescent="0.3">
      <c r="B9" s="57" t="s">
        <v>18</v>
      </c>
      <c r="C9" s="58"/>
      <c r="D9" s="54" t="s">
        <v>19</v>
      </c>
      <c r="E9" s="54"/>
      <c r="F9" s="54"/>
    </row>
    <row r="10" spans="2:6" x14ac:dyDescent="0.3">
      <c r="B10" s="49"/>
      <c r="C10" s="50"/>
      <c r="D10" s="51"/>
      <c r="E10" s="52"/>
      <c r="F10" s="53"/>
    </row>
    <row r="11" spans="2:6" x14ac:dyDescent="0.3">
      <c r="B11" s="40"/>
      <c r="C11" s="40"/>
      <c r="D11" s="45" t="s">
        <v>20</v>
      </c>
      <c r="E11" s="48"/>
      <c r="F11" s="46"/>
    </row>
    <row r="12" spans="2:6" x14ac:dyDescent="0.3">
      <c r="B12" s="40"/>
      <c r="C12" s="40"/>
      <c r="D12" s="45" t="s">
        <v>21</v>
      </c>
      <c r="E12" s="48"/>
      <c r="F12" s="46"/>
    </row>
    <row r="13" spans="2:6" x14ac:dyDescent="0.3">
      <c r="B13" s="40"/>
      <c r="C13" s="40"/>
      <c r="D13" s="41" t="s">
        <v>22</v>
      </c>
      <c r="E13" s="42"/>
      <c r="F13" s="43"/>
    </row>
    <row r="14" spans="2:6" x14ac:dyDescent="0.3">
      <c r="B14" s="16" t="s">
        <v>56</v>
      </c>
      <c r="C14" s="7" t="s">
        <v>68</v>
      </c>
      <c r="D14" s="84" t="s">
        <v>156</v>
      </c>
      <c r="E14" s="84"/>
      <c r="F14" s="84"/>
    </row>
    <row r="15" spans="2:6" x14ac:dyDescent="0.3">
      <c r="B15" s="16" t="s">
        <v>57</v>
      </c>
      <c r="C15" s="7"/>
      <c r="D15" s="24">
        <v>7387471134</v>
      </c>
      <c r="E15" s="24"/>
      <c r="F15" s="24"/>
    </row>
    <row r="17" spans="2:6" x14ac:dyDescent="0.3">
      <c r="B17" s="3" t="s">
        <v>26</v>
      </c>
      <c r="C17" s="3" t="s">
        <v>27</v>
      </c>
      <c r="D17" s="3" t="s">
        <v>28</v>
      </c>
      <c r="E17" s="3" t="s">
        <v>13</v>
      </c>
      <c r="F17" s="3" t="s">
        <v>11</v>
      </c>
    </row>
    <row r="18" spans="2:6" x14ac:dyDescent="0.3">
      <c r="B18" s="5"/>
      <c r="C18" s="5"/>
      <c r="D18" s="5"/>
      <c r="E18" s="5"/>
      <c r="F18" s="5"/>
    </row>
    <row r="19" spans="2:6" x14ac:dyDescent="0.3">
      <c r="B19" s="5"/>
      <c r="C19" s="5"/>
      <c r="D19" s="5"/>
      <c r="E19" s="5"/>
      <c r="F19" s="5"/>
    </row>
    <row r="20" spans="2:6" x14ac:dyDescent="0.3">
      <c r="B20" s="5"/>
      <c r="C20" s="5"/>
      <c r="D20" s="5"/>
      <c r="E20" s="5"/>
      <c r="F20" s="5"/>
    </row>
    <row r="21" spans="2:6" x14ac:dyDescent="0.3">
      <c r="B21" s="5"/>
      <c r="C21" s="5"/>
      <c r="D21" s="5"/>
      <c r="E21" s="5"/>
      <c r="F21" s="5"/>
    </row>
    <row r="22" spans="2:6" x14ac:dyDescent="0.3">
      <c r="B22" s="5"/>
      <c r="C22" s="5"/>
      <c r="D22" s="5"/>
      <c r="E22" s="5"/>
      <c r="F22" s="5"/>
    </row>
    <row r="23" spans="2:6" x14ac:dyDescent="0.3">
      <c r="B23" s="5"/>
      <c r="C23" s="5"/>
      <c r="D23" s="5"/>
      <c r="E23" s="5"/>
      <c r="F23" s="5"/>
    </row>
    <row r="24" spans="2:6" x14ac:dyDescent="0.3">
      <c r="B24" s="5"/>
      <c r="C24" s="5"/>
      <c r="D24" s="5"/>
      <c r="E24" s="5"/>
      <c r="F24" s="5"/>
    </row>
    <row r="25" spans="2:6" x14ac:dyDescent="0.3">
      <c r="B25" s="5"/>
      <c r="C25" s="5"/>
      <c r="D25" s="5"/>
      <c r="E25" s="5"/>
      <c r="F25" s="5"/>
    </row>
    <row r="26" spans="2:6" x14ac:dyDescent="0.3">
      <c r="B26" s="5"/>
      <c r="C26" s="5"/>
      <c r="D26" s="5"/>
      <c r="E26" s="5"/>
      <c r="F26" s="5"/>
    </row>
    <row r="27" spans="2:6" x14ac:dyDescent="0.3">
      <c r="B27" s="5"/>
      <c r="C27" s="5"/>
      <c r="D27" s="5"/>
      <c r="E27" s="5"/>
      <c r="F27" s="5"/>
    </row>
    <row r="28" spans="2:6" x14ac:dyDescent="0.3">
      <c r="B28" s="5"/>
      <c r="C28" s="5"/>
      <c r="D28" s="5"/>
      <c r="E28" s="5"/>
      <c r="F28" s="5"/>
    </row>
    <row r="29" spans="2:6" x14ac:dyDescent="0.3">
      <c r="B29" s="5"/>
      <c r="C29" s="5"/>
      <c r="D29" s="5"/>
      <c r="E29" s="5"/>
      <c r="F29" s="5"/>
    </row>
    <row r="30" spans="2:6" x14ac:dyDescent="0.3">
      <c r="B30" s="5"/>
      <c r="C30" s="5"/>
      <c r="D30" s="5"/>
      <c r="E30" s="5"/>
      <c r="F30" s="5"/>
    </row>
    <row r="31" spans="2:6" x14ac:dyDescent="0.3">
      <c r="B31" s="5"/>
      <c r="C31" s="5"/>
      <c r="D31" s="5"/>
      <c r="E31" s="5"/>
      <c r="F31" s="5"/>
    </row>
    <row r="32" spans="2:6" x14ac:dyDescent="0.3">
      <c r="B32" s="5"/>
      <c r="C32" s="5"/>
      <c r="D32" s="5"/>
      <c r="E32" s="5"/>
      <c r="F32" s="5"/>
    </row>
    <row r="33" spans="2:6" x14ac:dyDescent="0.3">
      <c r="B33" s="5"/>
      <c r="C33" s="5"/>
      <c r="D33" s="5"/>
      <c r="E33" s="5"/>
      <c r="F33" s="5"/>
    </row>
    <row r="34" spans="2:6" x14ac:dyDescent="0.3">
      <c r="B34" s="5"/>
      <c r="C34" s="5"/>
      <c r="D34" s="5"/>
      <c r="E34" s="5"/>
      <c r="F34" s="5"/>
    </row>
    <row r="35" spans="2:6" x14ac:dyDescent="0.3">
      <c r="B35" s="5"/>
      <c r="C35" s="5"/>
      <c r="D35" s="5"/>
      <c r="E35" s="5"/>
      <c r="F35" s="5"/>
    </row>
    <row r="36" spans="2:6" x14ac:dyDescent="0.3">
      <c r="B36" s="5"/>
      <c r="C36" s="5"/>
      <c r="D36" s="5"/>
      <c r="E36" s="5"/>
      <c r="F36" s="5"/>
    </row>
    <row r="37" spans="2:6" x14ac:dyDescent="0.3">
      <c r="B37" s="5"/>
      <c r="C37" s="5"/>
      <c r="D37" s="5"/>
      <c r="E37" s="5"/>
      <c r="F37" s="5"/>
    </row>
    <row r="45" spans="2:6" x14ac:dyDescent="0.3">
      <c r="B45" s="44" t="s">
        <v>72</v>
      </c>
      <c r="C45" s="44"/>
      <c r="D45" s="21" t="s">
        <v>33</v>
      </c>
      <c r="E45" s="21"/>
      <c r="F45" s="5"/>
    </row>
    <row r="46" spans="2:6" x14ac:dyDescent="0.3">
      <c r="B46" s="45" t="s">
        <v>88</v>
      </c>
      <c r="C46" s="46"/>
      <c r="D46" s="20" t="s">
        <v>29</v>
      </c>
      <c r="E46" s="20"/>
      <c r="F46" s="5"/>
    </row>
    <row r="47" spans="2:6" x14ac:dyDescent="0.3">
      <c r="B47" s="45"/>
      <c r="C47" s="46"/>
      <c r="D47" s="20" t="s">
        <v>30</v>
      </c>
      <c r="E47" s="20"/>
      <c r="F47" s="5"/>
    </row>
    <row r="48" spans="2:6" x14ac:dyDescent="0.3">
      <c r="B48" s="45"/>
      <c r="C48" s="46"/>
      <c r="D48" s="20" t="s">
        <v>32</v>
      </c>
      <c r="E48" s="20"/>
      <c r="F48" s="5"/>
    </row>
    <row r="49" spans="2:6" x14ac:dyDescent="0.3">
      <c r="B49" s="45"/>
      <c r="C49" s="46"/>
      <c r="D49" s="20" t="s">
        <v>31</v>
      </c>
      <c r="E49" s="20"/>
      <c r="F49" s="5"/>
    </row>
    <row r="50" spans="2:6" x14ac:dyDescent="0.3">
      <c r="B50" s="11"/>
      <c r="C50" s="12"/>
      <c r="D50" s="21" t="s">
        <v>58</v>
      </c>
      <c r="E50" s="21"/>
      <c r="F50" s="5"/>
    </row>
    <row r="52" spans="2:6" x14ac:dyDescent="0.3">
      <c r="B52" s="44" t="s">
        <v>34</v>
      </c>
      <c r="C52" s="44"/>
      <c r="D52" s="44" t="s">
        <v>59</v>
      </c>
      <c r="E52" s="44"/>
      <c r="F52" s="44"/>
    </row>
    <row r="53" spans="2:6" x14ac:dyDescent="0.3">
      <c r="B53" s="7" t="s">
        <v>35</v>
      </c>
      <c r="C53" s="5"/>
      <c r="D53" s="20" t="s">
        <v>60</v>
      </c>
      <c r="E53" s="20"/>
      <c r="F53" s="5"/>
    </row>
    <row r="54" spans="2:6" x14ac:dyDescent="0.3">
      <c r="B54" s="7" t="s">
        <v>36</v>
      </c>
      <c r="C54" s="5"/>
      <c r="D54" s="20" t="s">
        <v>61</v>
      </c>
      <c r="E54" s="20"/>
      <c r="F54" s="5" t="s">
        <v>145</v>
      </c>
    </row>
    <row r="55" spans="2:6" x14ac:dyDescent="0.3">
      <c r="B55" s="22" t="s">
        <v>37</v>
      </c>
      <c r="C55" s="22"/>
      <c r="D55" s="22"/>
      <c r="E55" s="22"/>
      <c r="F55" s="22"/>
    </row>
    <row r="56" spans="2:6" ht="7.95" customHeight="1" x14ac:dyDescent="0.3">
      <c r="C56" s="1"/>
    </row>
    <row r="57" spans="2:6" ht="14.4" customHeight="1" x14ac:dyDescent="0.3">
      <c r="B57" s="1">
        <v>1</v>
      </c>
      <c r="C57" s="47" t="s">
        <v>38</v>
      </c>
      <c r="D57" s="47"/>
      <c r="E57" s="47"/>
      <c r="F57" s="47"/>
    </row>
    <row r="58" spans="2:6" x14ac:dyDescent="0.3">
      <c r="B58" s="1"/>
      <c r="C58" s="47"/>
      <c r="D58" s="47"/>
      <c r="E58" s="47"/>
      <c r="F58" s="47"/>
    </row>
    <row r="59" spans="2:6" ht="7.95" customHeight="1" x14ac:dyDescent="0.3">
      <c r="B59" s="1"/>
      <c r="C59" s="17"/>
      <c r="D59" s="17"/>
      <c r="E59" s="17"/>
      <c r="F59" s="17"/>
    </row>
    <row r="60" spans="2:6" x14ac:dyDescent="0.3">
      <c r="B60" s="1">
        <v>2</v>
      </c>
      <c r="C60" s="47" t="s">
        <v>40</v>
      </c>
      <c r="D60" s="47"/>
      <c r="E60" s="47"/>
      <c r="F60" s="47"/>
    </row>
    <row r="61" spans="2:6" x14ac:dyDescent="0.3">
      <c r="B61" s="1"/>
      <c r="C61" s="47"/>
      <c r="D61" s="47"/>
      <c r="E61" s="47"/>
      <c r="F61" s="47"/>
    </row>
    <row r="62" spans="2:6" ht="7.95" customHeight="1" x14ac:dyDescent="0.3">
      <c r="B62" s="1"/>
      <c r="C62" s="17"/>
      <c r="D62" s="17"/>
      <c r="E62" s="17"/>
      <c r="F62" s="17"/>
    </row>
    <row r="63" spans="2:6" x14ac:dyDescent="0.3">
      <c r="B63" s="1">
        <v>3</v>
      </c>
      <c r="C63" s="47" t="s">
        <v>41</v>
      </c>
      <c r="D63" s="47"/>
      <c r="E63" s="47"/>
      <c r="F63" s="47"/>
    </row>
    <row r="64" spans="2:6" x14ac:dyDescent="0.3">
      <c r="B64" s="1"/>
      <c r="C64" s="47"/>
      <c r="D64" s="47"/>
      <c r="E64" s="47"/>
      <c r="F64" s="47"/>
    </row>
    <row r="65" spans="2:6" ht="7.95" customHeight="1" x14ac:dyDescent="0.3">
      <c r="B65" s="1"/>
      <c r="C65" s="17"/>
      <c r="D65" s="17"/>
      <c r="E65" s="17"/>
      <c r="F65" s="17"/>
    </row>
    <row r="66" spans="2:6" x14ac:dyDescent="0.3">
      <c r="B66" s="1">
        <v>4</v>
      </c>
      <c r="C66" s="47" t="s">
        <v>42</v>
      </c>
      <c r="D66" s="47"/>
      <c r="E66" s="47"/>
      <c r="F66" s="47"/>
    </row>
    <row r="67" spans="2:6" x14ac:dyDescent="0.3">
      <c r="B67" s="1"/>
      <c r="C67" s="47"/>
      <c r="D67" s="47"/>
      <c r="E67" s="47"/>
      <c r="F67" s="47"/>
    </row>
    <row r="68" spans="2:6" ht="7.95" customHeight="1" x14ac:dyDescent="0.3">
      <c r="B68" s="1"/>
      <c r="C68" s="17"/>
      <c r="D68" s="17"/>
      <c r="E68" s="17"/>
      <c r="F68" s="17"/>
    </row>
    <row r="69" spans="2:6" x14ac:dyDescent="0.3">
      <c r="B69" s="1">
        <v>5</v>
      </c>
      <c r="C69" s="47" t="s">
        <v>43</v>
      </c>
      <c r="D69" s="47"/>
      <c r="E69" s="47"/>
      <c r="F69" s="47"/>
    </row>
    <row r="70" spans="2:6" x14ac:dyDescent="0.3">
      <c r="B70" s="1"/>
      <c r="C70" s="47"/>
      <c r="D70" s="47"/>
      <c r="E70" s="47"/>
      <c r="F70" s="47"/>
    </row>
    <row r="71" spans="2:6" ht="7.95" customHeight="1" x14ac:dyDescent="0.3">
      <c r="B71" s="1"/>
      <c r="C71" s="17"/>
      <c r="D71" s="17"/>
      <c r="E71" s="17"/>
      <c r="F71" s="17"/>
    </row>
    <row r="72" spans="2:6" x14ac:dyDescent="0.3">
      <c r="B72" s="1">
        <v>6</v>
      </c>
      <c r="C72" s="48" t="s">
        <v>44</v>
      </c>
      <c r="D72" s="48"/>
      <c r="E72" s="48"/>
      <c r="F72" s="48"/>
    </row>
    <row r="73" spans="2:6" ht="7.95" customHeight="1" x14ac:dyDescent="0.3">
      <c r="B73" s="1"/>
      <c r="C73" s="10"/>
      <c r="D73" s="10"/>
      <c r="E73" s="10"/>
      <c r="F73" s="10"/>
    </row>
    <row r="74" spans="2:6" x14ac:dyDescent="0.3">
      <c r="B74" s="1">
        <v>7</v>
      </c>
      <c r="C74" s="47" t="s">
        <v>45</v>
      </c>
      <c r="D74" s="47"/>
      <c r="E74" s="47"/>
      <c r="F74" s="47"/>
    </row>
    <row r="75" spans="2:6" x14ac:dyDescent="0.3">
      <c r="B75" s="1"/>
      <c r="C75" s="47"/>
      <c r="D75" s="47"/>
      <c r="E75" s="47"/>
      <c r="F75" s="47"/>
    </row>
    <row r="76" spans="2:6" ht="7.95" customHeight="1" x14ac:dyDescent="0.3">
      <c r="B76" s="1"/>
      <c r="C76" s="17"/>
      <c r="D76" s="17"/>
      <c r="E76" s="17"/>
      <c r="F76" s="17"/>
    </row>
    <row r="77" spans="2:6" x14ac:dyDescent="0.3">
      <c r="B77" s="1">
        <v>8</v>
      </c>
      <c r="C77" s="47" t="s">
        <v>46</v>
      </c>
      <c r="D77" s="47"/>
      <c r="E77" s="47"/>
      <c r="F77" s="47"/>
    </row>
    <row r="78" spans="2:6" x14ac:dyDescent="0.3">
      <c r="B78" s="1"/>
      <c r="C78" s="47"/>
      <c r="D78" s="47"/>
      <c r="E78" s="47"/>
      <c r="F78" s="47"/>
    </row>
    <row r="79" spans="2:6" ht="7.95" customHeight="1" x14ac:dyDescent="0.3">
      <c r="B79" s="1"/>
      <c r="C79" s="17"/>
      <c r="D79" s="17"/>
      <c r="E79" s="17"/>
      <c r="F79" s="17"/>
    </row>
    <row r="80" spans="2:6" x14ac:dyDescent="0.3">
      <c r="B80" s="1">
        <v>9</v>
      </c>
      <c r="C80" s="47" t="s">
        <v>47</v>
      </c>
      <c r="D80" s="47"/>
      <c r="E80" s="47"/>
      <c r="F80" s="47"/>
    </row>
    <row r="81" spans="2:6" x14ac:dyDescent="0.3">
      <c r="B81" s="1"/>
      <c r="C81" s="47"/>
      <c r="D81" s="47"/>
      <c r="E81" s="47"/>
      <c r="F81" s="47"/>
    </row>
    <row r="82" spans="2:6" ht="7.95" customHeight="1" x14ac:dyDescent="0.3">
      <c r="B82" s="1"/>
      <c r="C82" s="17"/>
      <c r="D82" s="17"/>
      <c r="E82" s="17"/>
      <c r="F82" s="17"/>
    </row>
    <row r="83" spans="2:6" x14ac:dyDescent="0.3">
      <c r="B83" s="1">
        <v>10</v>
      </c>
      <c r="C83" s="47" t="s">
        <v>48</v>
      </c>
      <c r="D83" s="47"/>
      <c r="E83" s="47"/>
      <c r="F83" s="47"/>
    </row>
    <row r="84" spans="2:6" x14ac:dyDescent="0.3">
      <c r="B84" s="1"/>
      <c r="C84" s="47"/>
      <c r="D84" s="47"/>
      <c r="E84" s="47"/>
      <c r="F84" s="47"/>
    </row>
    <row r="85" spans="2:6" ht="7.95" customHeight="1" x14ac:dyDescent="0.3">
      <c r="B85" s="1"/>
      <c r="C85" s="17"/>
      <c r="D85" s="17"/>
      <c r="E85" s="17"/>
      <c r="F85" s="17"/>
    </row>
    <row r="86" spans="2:6" x14ac:dyDescent="0.3">
      <c r="B86" s="1">
        <v>11</v>
      </c>
      <c r="C86" s="47" t="s">
        <v>146</v>
      </c>
      <c r="D86" s="47"/>
      <c r="E86" s="47"/>
      <c r="F86" s="47"/>
    </row>
    <row r="87" spans="2:6" x14ac:dyDescent="0.3">
      <c r="B87" s="1"/>
      <c r="C87" s="47"/>
      <c r="D87" s="47"/>
      <c r="E87" s="47"/>
      <c r="F87" s="47"/>
    </row>
    <row r="88" spans="2:6" ht="7.95" customHeight="1" x14ac:dyDescent="0.3">
      <c r="B88" s="1"/>
      <c r="C88" s="17"/>
      <c r="D88" s="17"/>
      <c r="E88" s="17"/>
      <c r="F88" s="17"/>
    </row>
    <row r="89" spans="2:6" x14ac:dyDescent="0.3">
      <c r="B89" s="1">
        <v>12</v>
      </c>
      <c r="C89" s="47" t="s">
        <v>49</v>
      </c>
      <c r="D89" s="47"/>
      <c r="E89" s="47"/>
      <c r="F89" s="47"/>
    </row>
    <row r="90" spans="2:6" x14ac:dyDescent="0.3">
      <c r="B90" s="1"/>
      <c r="C90" s="47"/>
      <c r="D90" s="47"/>
      <c r="E90" s="47"/>
      <c r="F90" s="47"/>
    </row>
    <row r="91" spans="2:6" ht="7.95" customHeight="1" x14ac:dyDescent="0.3">
      <c r="B91" s="1"/>
      <c r="C91" s="17"/>
      <c r="D91" s="17"/>
      <c r="E91" s="17"/>
      <c r="F91" s="17"/>
    </row>
    <row r="92" spans="2:6" ht="14.4" customHeight="1" x14ac:dyDescent="0.3">
      <c r="B92" s="1">
        <v>13</v>
      </c>
      <c r="C92" s="47" t="s">
        <v>50</v>
      </c>
      <c r="D92" s="47"/>
      <c r="E92" s="47"/>
      <c r="F92" s="47"/>
    </row>
    <row r="93" spans="2:6" x14ac:dyDescent="0.3">
      <c r="B93" s="1"/>
      <c r="C93" s="47"/>
      <c r="D93" s="47"/>
      <c r="E93" s="47"/>
      <c r="F93" s="47"/>
    </row>
    <row r="94" spans="2:6" ht="7.95" customHeight="1" x14ac:dyDescent="0.3">
      <c r="B94" s="1"/>
      <c r="C94" s="17"/>
      <c r="D94" s="17"/>
      <c r="E94" s="17"/>
      <c r="F94" s="17"/>
    </row>
    <row r="95" spans="2:6" x14ac:dyDescent="0.3">
      <c r="B95" s="1">
        <v>14</v>
      </c>
      <c r="C95" s="48" t="s">
        <v>51</v>
      </c>
      <c r="D95" s="48"/>
      <c r="E95" s="48"/>
      <c r="F95" s="48"/>
    </row>
    <row r="96" spans="2:6" ht="7.95" customHeight="1" x14ac:dyDescent="0.3">
      <c r="B96" s="1"/>
      <c r="C96" s="10"/>
      <c r="D96" s="10"/>
      <c r="E96" s="10"/>
      <c r="F96" s="10"/>
    </row>
    <row r="97" spans="2:6" ht="14.4" customHeight="1" x14ac:dyDescent="0.3">
      <c r="B97" s="1">
        <v>15</v>
      </c>
      <c r="C97" s="47" t="s">
        <v>52</v>
      </c>
      <c r="D97" s="47"/>
      <c r="E97" s="47"/>
      <c r="F97" s="47"/>
    </row>
    <row r="98" spans="2:6" x14ac:dyDescent="0.3">
      <c r="B98" s="1"/>
      <c r="C98" s="47"/>
      <c r="D98" s="47"/>
      <c r="E98" s="47"/>
      <c r="F98" s="47"/>
    </row>
    <row r="99" spans="2:6" ht="7.95" customHeight="1" x14ac:dyDescent="0.3">
      <c r="B99" s="1"/>
      <c r="C99" s="17"/>
      <c r="D99" s="17"/>
      <c r="E99" s="17"/>
      <c r="F99" s="17"/>
    </row>
    <row r="100" spans="2:6" x14ac:dyDescent="0.3">
      <c r="B100" s="1">
        <v>16</v>
      </c>
      <c r="C100" s="47" t="s">
        <v>53</v>
      </c>
      <c r="D100" s="47"/>
      <c r="E100" s="47"/>
      <c r="F100" s="47"/>
    </row>
    <row r="101" spans="2:6" x14ac:dyDescent="0.3">
      <c r="B101" s="1"/>
      <c r="C101" s="47"/>
      <c r="D101" s="47"/>
      <c r="E101" s="47"/>
      <c r="F101" s="47"/>
    </row>
    <row r="102" spans="2:6" ht="7.95" customHeight="1" x14ac:dyDescent="0.3">
      <c r="B102" s="1"/>
      <c r="C102" s="17"/>
      <c r="D102" s="17"/>
      <c r="E102" s="17"/>
      <c r="F102" s="17"/>
    </row>
    <row r="103" spans="2:6" ht="17.399999999999999" customHeight="1" x14ac:dyDescent="0.3">
      <c r="B103" s="1">
        <v>17</v>
      </c>
      <c r="C103" s="47" t="s">
        <v>39</v>
      </c>
      <c r="D103" s="47"/>
      <c r="E103" s="47"/>
      <c r="F103" s="47"/>
    </row>
    <row r="104" spans="2:6" x14ac:dyDescent="0.3">
      <c r="B104" s="1"/>
      <c r="C104" s="47"/>
      <c r="D104" s="47"/>
      <c r="E104" s="47"/>
      <c r="F104" s="47"/>
    </row>
    <row r="105" spans="2:6" ht="7.95" customHeight="1" x14ac:dyDescent="0.3">
      <c r="B105" s="1"/>
      <c r="C105" s="17"/>
      <c r="D105" s="17"/>
      <c r="E105" s="17"/>
      <c r="F105" s="17"/>
    </row>
    <row r="106" spans="2:6" ht="14.4" customHeight="1" x14ac:dyDescent="0.3">
      <c r="B106" s="1">
        <v>18</v>
      </c>
      <c r="C106" s="47" t="s">
        <v>54</v>
      </c>
      <c r="D106" s="47"/>
      <c r="E106" s="47"/>
      <c r="F106" s="47"/>
    </row>
    <row r="107" spans="2:6" x14ac:dyDescent="0.3">
      <c r="B107" s="1"/>
      <c r="C107" s="47"/>
      <c r="D107" s="47"/>
      <c r="E107" s="47"/>
      <c r="F107" s="47"/>
    </row>
    <row r="108" spans="2:6" x14ac:dyDescent="0.3">
      <c r="B108" s="1"/>
      <c r="C108" s="47"/>
      <c r="D108" s="47"/>
      <c r="E108" s="47"/>
      <c r="F108" s="47"/>
    </row>
    <row r="109" spans="2:6" x14ac:dyDescent="0.3">
      <c r="C109" s="29"/>
      <c r="D109" s="29"/>
      <c r="E109" s="29"/>
      <c r="F109" s="29"/>
    </row>
    <row r="110" spans="2:6" x14ac:dyDescent="0.3">
      <c r="C110" s="59"/>
      <c r="D110" s="60" t="s">
        <v>71</v>
      </c>
      <c r="E110" s="60"/>
      <c r="F110" s="60"/>
    </row>
    <row r="111" spans="2:6" x14ac:dyDescent="0.3">
      <c r="C111" s="59"/>
    </row>
    <row r="112" spans="2:6" x14ac:dyDescent="0.3">
      <c r="C112" s="59"/>
    </row>
    <row r="113" spans="3:6" x14ac:dyDescent="0.3">
      <c r="C113" s="59"/>
      <c r="D113" s="59"/>
      <c r="E113" s="59"/>
      <c r="F113" s="59"/>
    </row>
    <row r="114" spans="3:6" x14ac:dyDescent="0.3">
      <c r="C114" s="59"/>
    </row>
    <row r="115" spans="3:6" x14ac:dyDescent="0.3">
      <c r="C115" s="59"/>
    </row>
    <row r="116" spans="3:6" x14ac:dyDescent="0.3">
      <c r="C116" s="2"/>
      <c r="D116" s="50" t="str">
        <f>C14</f>
        <v>Mr. ABC</v>
      </c>
      <c r="E116" s="50"/>
      <c r="F116" s="50"/>
    </row>
    <row r="117" spans="3:6" x14ac:dyDescent="0.3">
      <c r="C117" s="29"/>
      <c r="D117" s="29"/>
      <c r="E117" s="29"/>
      <c r="F117" s="29"/>
    </row>
    <row r="118" spans="3:6" x14ac:dyDescent="0.3">
      <c r="C118" s="29"/>
      <c r="D118" s="29"/>
      <c r="E118" s="29"/>
      <c r="F118" s="29"/>
    </row>
    <row r="119" spans="3:6" x14ac:dyDescent="0.3">
      <c r="C119" s="29"/>
      <c r="D119" s="29"/>
      <c r="E119" s="29"/>
      <c r="F119" s="29"/>
    </row>
    <row r="120" spans="3:6" x14ac:dyDescent="0.3">
      <c r="C120" s="29"/>
      <c r="D120" s="29"/>
      <c r="E120" s="29"/>
      <c r="F120" s="29"/>
    </row>
    <row r="121" spans="3:6" x14ac:dyDescent="0.3">
      <c r="C121" s="29"/>
      <c r="D121" s="29"/>
      <c r="E121" s="29"/>
      <c r="F121" s="29"/>
    </row>
    <row r="122" spans="3:6" x14ac:dyDescent="0.3">
      <c r="C122" s="29"/>
      <c r="D122" s="29"/>
      <c r="E122" s="29"/>
      <c r="F122" s="29"/>
    </row>
    <row r="123" spans="3:6" x14ac:dyDescent="0.3">
      <c r="C123" s="29"/>
      <c r="D123" s="29"/>
      <c r="E123" s="29"/>
      <c r="F123" s="29"/>
    </row>
    <row r="124" spans="3:6" x14ac:dyDescent="0.3">
      <c r="C124" s="29"/>
      <c r="D124" s="29"/>
      <c r="E124" s="29"/>
      <c r="F124" s="29"/>
    </row>
    <row r="125" spans="3:6" x14ac:dyDescent="0.3">
      <c r="C125" s="29"/>
      <c r="D125" s="29"/>
      <c r="E125" s="29"/>
      <c r="F125" s="29"/>
    </row>
    <row r="126" spans="3:6" x14ac:dyDescent="0.3">
      <c r="C126" s="29"/>
      <c r="D126" s="29"/>
      <c r="E126" s="29"/>
      <c r="F126" s="29"/>
    </row>
    <row r="127" spans="3:6" x14ac:dyDescent="0.3">
      <c r="C127" s="29"/>
      <c r="D127" s="29"/>
      <c r="E127" s="29"/>
      <c r="F127" s="29"/>
    </row>
    <row r="128" spans="3:6" x14ac:dyDescent="0.3">
      <c r="C128" s="29"/>
      <c r="D128" s="29"/>
      <c r="E128" s="29"/>
      <c r="F128" s="29"/>
    </row>
    <row r="129" spans="3:6" x14ac:dyDescent="0.3">
      <c r="C129" s="29"/>
      <c r="D129" s="29"/>
      <c r="E129" s="29"/>
      <c r="F129" s="29"/>
    </row>
    <row r="130" spans="3:6" x14ac:dyDescent="0.3">
      <c r="C130" s="29"/>
      <c r="D130" s="29"/>
      <c r="E130" s="29"/>
      <c r="F130" s="29"/>
    </row>
    <row r="131" spans="3:6" x14ac:dyDescent="0.3">
      <c r="C131" s="29"/>
      <c r="D131" s="29"/>
      <c r="E131" s="29"/>
      <c r="F131" s="29"/>
    </row>
    <row r="132" spans="3:6" x14ac:dyDescent="0.3">
      <c r="C132" s="29"/>
      <c r="D132" s="29"/>
      <c r="E132" s="29"/>
      <c r="F132" s="29"/>
    </row>
    <row r="133" spans="3:6" x14ac:dyDescent="0.3">
      <c r="C133" s="29"/>
      <c r="D133" s="29"/>
      <c r="E133" s="29"/>
      <c r="F133" s="29"/>
    </row>
  </sheetData>
  <mergeCells count="75">
    <mergeCell ref="D116:F116"/>
    <mergeCell ref="E6:F6"/>
    <mergeCell ref="E7:F7"/>
    <mergeCell ref="E5:F5"/>
    <mergeCell ref="D110:F110"/>
    <mergeCell ref="B2:C2"/>
    <mergeCell ref="B3:C3"/>
    <mergeCell ref="B4:C4"/>
    <mergeCell ref="B5:C5"/>
    <mergeCell ref="B9:C9"/>
    <mergeCell ref="C69:F70"/>
    <mergeCell ref="C74:F75"/>
    <mergeCell ref="C72:F72"/>
    <mergeCell ref="C57:F58"/>
    <mergeCell ref="C103:F104"/>
    <mergeCell ref="C60:F61"/>
    <mergeCell ref="C63:F64"/>
    <mergeCell ref="C66:F67"/>
    <mergeCell ref="C95:F95"/>
    <mergeCell ref="C77:F78"/>
    <mergeCell ref="C80:F81"/>
    <mergeCell ref="C83:F84"/>
    <mergeCell ref="C86:F87"/>
    <mergeCell ref="C92:F93"/>
    <mergeCell ref="C89:F90"/>
    <mergeCell ref="C109:F109"/>
    <mergeCell ref="C106:F108"/>
    <mergeCell ref="C97:F98"/>
    <mergeCell ref="C100:F101"/>
    <mergeCell ref="C121:F121"/>
    <mergeCell ref="C117:F117"/>
    <mergeCell ref="C118:F118"/>
    <mergeCell ref="C119:F119"/>
    <mergeCell ref="C120:F120"/>
    <mergeCell ref="C133:F133"/>
    <mergeCell ref="C122:F122"/>
    <mergeCell ref="C123:F123"/>
    <mergeCell ref="C124:F124"/>
    <mergeCell ref="C125:F125"/>
    <mergeCell ref="C126:F126"/>
    <mergeCell ref="C127:F127"/>
    <mergeCell ref="C128:F128"/>
    <mergeCell ref="C129:F129"/>
    <mergeCell ref="C130:F130"/>
    <mergeCell ref="C131:F131"/>
    <mergeCell ref="C132:F132"/>
    <mergeCell ref="D52:F52"/>
    <mergeCell ref="D53:E53"/>
    <mergeCell ref="B55:F55"/>
    <mergeCell ref="B52:C52"/>
    <mergeCell ref="B46:C46"/>
    <mergeCell ref="B47:C47"/>
    <mergeCell ref="B48:C48"/>
    <mergeCell ref="B49:C49"/>
    <mergeCell ref="D54:E54"/>
    <mergeCell ref="D46:E46"/>
    <mergeCell ref="D47:E47"/>
    <mergeCell ref="D48:E48"/>
    <mergeCell ref="D49:E49"/>
    <mergeCell ref="D2:F3"/>
    <mergeCell ref="B13:C13"/>
    <mergeCell ref="D13:F13"/>
    <mergeCell ref="D14:F14"/>
    <mergeCell ref="D50:E50"/>
    <mergeCell ref="B45:C45"/>
    <mergeCell ref="D45:E45"/>
    <mergeCell ref="B11:C11"/>
    <mergeCell ref="B10:C10"/>
    <mergeCell ref="D10:F10"/>
    <mergeCell ref="D11:F11"/>
    <mergeCell ref="D12:F12"/>
    <mergeCell ref="D15:F15"/>
    <mergeCell ref="B12:C12"/>
    <mergeCell ref="E4:F4"/>
    <mergeCell ref="D9:F9"/>
  </mergeCells>
  <pageMargins left="0.23622047244094491" right="0.23622047244094491" top="0.74803149606299213" bottom="0.74803149606299213" header="0.31496062992125984" footer="0.31496062992125984"/>
  <pageSetup paperSize="9" scale="93" fitToHeight="0" orientation="portrait" r:id="rId1"/>
  <headerFooter>
    <oddFooter>Page &amp;P of &amp;N</oddFooter>
  </headerFooter>
  <rowBreaks count="1" manualBreakCount="1">
    <brk id="54" min="1"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Project Summary</vt:lpstr>
      <vt:lpstr>Weekly Progress Report</vt:lpstr>
      <vt:lpstr>Work Order Tracker</vt:lpstr>
      <vt:lpstr>Payment Certificate Tracker</vt:lpstr>
      <vt:lpstr>Code-Categories</vt:lpstr>
      <vt:lpstr>CSA</vt:lpstr>
      <vt:lpstr>Petty Cash Tracker</vt:lpstr>
      <vt:lpstr>PC</vt:lpstr>
      <vt:lpstr>WO</vt:lpstr>
      <vt:lpstr>'Payment Certificate Tracker'!Print_Area</vt:lpstr>
      <vt:lpstr>PC!Print_Area</vt:lpstr>
      <vt:lpstr>'Weekly Progress Report'!Print_Area</vt:lpstr>
      <vt:lpstr>WO!Print_Area</vt:lpstr>
      <vt:lpstr>'Work Order Tracker'!Print_Area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Chinchuwar</dc:creator>
  <cp:lastModifiedBy>Amit Chinchuwar</cp:lastModifiedBy>
  <cp:lastPrinted>2025-11-30T15:07:44Z</cp:lastPrinted>
  <dcterms:created xsi:type="dcterms:W3CDTF">2025-11-26T07:12:37Z</dcterms:created>
  <dcterms:modified xsi:type="dcterms:W3CDTF">2025-11-30T16:36:24Z</dcterms:modified>
</cp:coreProperties>
</file>